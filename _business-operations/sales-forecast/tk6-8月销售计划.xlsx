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qisanjiudekeaiduo/Downloads/python3/Harlottecc/_business-operations/sales-forecast/"/>
    </mc:Choice>
  </mc:AlternateContent>
  <xr:revisionPtr revIDLastSave="0" documentId="13_ncr:1_{8934F76E-3558-984A-BBF9-5411DFF9328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AH18" i="1"/>
  <c r="AI18" i="1" s="1"/>
  <c r="AD18" i="1"/>
  <c r="U18" i="1"/>
  <c r="R18" i="1"/>
  <c r="O18" i="1"/>
  <c r="P18" i="1" s="1"/>
  <c r="K18" i="1"/>
  <c r="L18" i="1" s="1"/>
  <c r="I18" i="1"/>
  <c r="AH17" i="1"/>
  <c r="AI17" i="1" s="1"/>
  <c r="AD17" i="1"/>
  <c r="AA17" i="1"/>
  <c r="AB17" i="1" s="1"/>
  <c r="U17" i="1"/>
  <c r="R17" i="1"/>
  <c r="O17" i="1"/>
  <c r="P17" i="1" s="1"/>
  <c r="K17" i="1"/>
  <c r="L17" i="1" s="1"/>
  <c r="I17" i="1"/>
  <c r="AH16" i="1"/>
  <c r="AI16" i="1" s="1"/>
  <c r="AD16" i="1"/>
  <c r="U16" i="1"/>
  <c r="R16" i="1"/>
  <c r="O16" i="1"/>
  <c r="P16" i="1" s="1"/>
  <c r="K16" i="1"/>
  <c r="AA16" i="1" s="1"/>
  <c r="AB16" i="1" s="1"/>
  <c r="I16" i="1"/>
  <c r="AH15" i="1"/>
  <c r="AI15" i="1" s="1"/>
  <c r="AD15" i="1"/>
  <c r="AA15" i="1"/>
  <c r="AB15" i="1" s="1"/>
  <c r="U15" i="1"/>
  <c r="V15" i="1" s="1"/>
  <c r="R15" i="1"/>
  <c r="P15" i="1"/>
  <c r="O15" i="1"/>
  <c r="K15" i="1"/>
  <c r="L15" i="1" s="1"/>
  <c r="I15" i="1"/>
  <c r="AH14" i="1"/>
  <c r="AI14" i="1" s="1"/>
  <c r="AD14" i="1"/>
  <c r="U14" i="1"/>
  <c r="R14" i="1"/>
  <c r="O14" i="1"/>
  <c r="P14" i="1" s="1"/>
  <c r="K14" i="1"/>
  <c r="I14" i="1"/>
  <c r="AH13" i="1"/>
  <c r="AI13" i="1" s="1"/>
  <c r="AD13" i="1"/>
  <c r="AA13" i="1"/>
  <c r="AB13" i="1" s="1"/>
  <c r="U13" i="1"/>
  <c r="V13" i="1" s="1"/>
  <c r="R13" i="1"/>
  <c r="S13" i="1" s="1"/>
  <c r="O13" i="1"/>
  <c r="P13" i="1" s="1"/>
  <c r="K13" i="1"/>
  <c r="L13" i="1" s="1"/>
  <c r="I13" i="1"/>
  <c r="AH12" i="1"/>
  <c r="AI12" i="1" s="1"/>
  <c r="AD12" i="1"/>
  <c r="X12" i="1"/>
  <c r="Y12" i="1" s="1"/>
  <c r="U12" i="1"/>
  <c r="R12" i="1"/>
  <c r="O12" i="1"/>
  <c r="P12" i="1" s="1"/>
  <c r="K12" i="1"/>
  <c r="I12" i="1"/>
  <c r="AH11" i="1"/>
  <c r="AI11" i="1" s="1"/>
  <c r="AD11" i="1"/>
  <c r="AB11" i="1"/>
  <c r="AA11" i="1"/>
  <c r="U11" i="1"/>
  <c r="R11" i="1"/>
  <c r="O11" i="1"/>
  <c r="P11" i="1" s="1"/>
  <c r="K11" i="1"/>
  <c r="L11" i="1" s="1"/>
  <c r="I11" i="1"/>
  <c r="AI10" i="1"/>
  <c r="AH10" i="1"/>
  <c r="AD10" i="1"/>
  <c r="X10" i="1"/>
  <c r="Y10" i="1" s="1"/>
  <c r="U10" i="1"/>
  <c r="R10" i="1"/>
  <c r="O10" i="1"/>
  <c r="P10" i="1" s="1"/>
  <c r="K10" i="1"/>
  <c r="I10" i="1"/>
  <c r="AH9" i="1"/>
  <c r="AI9" i="1" s="1"/>
  <c r="AD9" i="1"/>
  <c r="AA9" i="1"/>
  <c r="AB9" i="1" s="1"/>
  <c r="U9" i="1"/>
  <c r="R9" i="1"/>
  <c r="O9" i="1"/>
  <c r="P9" i="1" s="1"/>
  <c r="K9" i="1"/>
  <c r="L9" i="1" s="1"/>
  <c r="I9" i="1"/>
  <c r="AH8" i="1"/>
  <c r="AI8" i="1" s="1"/>
  <c r="AD8" i="1"/>
  <c r="U8" i="1"/>
  <c r="R8" i="1"/>
  <c r="O8" i="1"/>
  <c r="P8" i="1" s="1"/>
  <c r="K8" i="1"/>
  <c r="I8" i="1"/>
  <c r="AH7" i="1"/>
  <c r="AI7" i="1" s="1"/>
  <c r="AD7" i="1"/>
  <c r="AA7" i="1"/>
  <c r="AB7" i="1" s="1"/>
  <c r="U7" i="1"/>
  <c r="V7" i="1" s="1"/>
  <c r="R7" i="1"/>
  <c r="S7" i="1" s="1"/>
  <c r="P7" i="1"/>
  <c r="O7" i="1"/>
  <c r="K7" i="1"/>
  <c r="L7" i="1" s="1"/>
  <c r="I7" i="1"/>
  <c r="AH6" i="1"/>
  <c r="AI6" i="1" s="1"/>
  <c r="AD6" i="1"/>
  <c r="U6" i="1"/>
  <c r="R6" i="1"/>
  <c r="O6" i="1"/>
  <c r="P6" i="1" s="1"/>
  <c r="K6" i="1"/>
  <c r="I6" i="1"/>
  <c r="AH5" i="1"/>
  <c r="AI5" i="1" s="1"/>
  <c r="AD5" i="1"/>
  <c r="AA5" i="1"/>
  <c r="AB5" i="1" s="1"/>
  <c r="U5" i="1"/>
  <c r="V5" i="1" s="1"/>
  <c r="R5" i="1"/>
  <c r="S5" i="1" s="1"/>
  <c r="O5" i="1"/>
  <c r="P5" i="1" s="1"/>
  <c r="K5" i="1"/>
  <c r="L5" i="1" s="1"/>
  <c r="I5" i="1"/>
  <c r="AH4" i="1"/>
  <c r="AI4" i="1" s="1"/>
  <c r="AD4" i="1"/>
  <c r="X4" i="1"/>
  <c r="Y4" i="1" s="1"/>
  <c r="U4" i="1"/>
  <c r="R4" i="1"/>
  <c r="O4" i="1"/>
  <c r="P4" i="1" s="1"/>
  <c r="K4" i="1"/>
  <c r="I4" i="1"/>
  <c r="AH3" i="1"/>
  <c r="AI3" i="1" s="1"/>
  <c r="AD3" i="1"/>
  <c r="AA3" i="1"/>
  <c r="AB3" i="1" s="1"/>
  <c r="U3" i="1"/>
  <c r="R3" i="1"/>
  <c r="O3" i="1"/>
  <c r="P3" i="1" s="1"/>
  <c r="K3" i="1"/>
  <c r="L3" i="1" s="1"/>
  <c r="I3" i="1"/>
  <c r="AH2" i="1"/>
  <c r="AI2" i="1" s="1"/>
  <c r="AD2" i="1"/>
  <c r="X2" i="1"/>
  <c r="Y2" i="1" s="1"/>
  <c r="U2" i="1"/>
  <c r="R2" i="1"/>
  <c r="O2" i="1"/>
  <c r="P2" i="1" s="1"/>
  <c r="K2" i="1"/>
  <c r="I2" i="1"/>
  <c r="S2" i="1" l="1"/>
  <c r="AA8" i="1"/>
  <c r="AB8" i="1" s="1"/>
  <c r="L8" i="1"/>
  <c r="AE8" i="1" s="1"/>
  <c r="AE17" i="1"/>
  <c r="S17" i="1"/>
  <c r="S3" i="1"/>
  <c r="AA4" i="1"/>
  <c r="AB4" i="1" s="1"/>
  <c r="L4" i="1"/>
  <c r="S11" i="1"/>
  <c r="AA12" i="1"/>
  <c r="AB12" i="1" s="1"/>
  <c r="L12" i="1"/>
  <c r="S14" i="1"/>
  <c r="V17" i="1"/>
  <c r="S10" i="1"/>
  <c r="AE3" i="1"/>
  <c r="S16" i="1"/>
  <c r="AA14" i="1"/>
  <c r="AB14" i="1" s="1"/>
  <c r="L14" i="1"/>
  <c r="V3" i="1"/>
  <c r="X8" i="1"/>
  <c r="Y8" i="1" s="1"/>
  <c r="V11" i="1"/>
  <c r="S18" i="1"/>
  <c r="S4" i="1"/>
  <c r="S9" i="1"/>
  <c r="AA10" i="1"/>
  <c r="AB10" i="1" s="1"/>
  <c r="L10" i="1"/>
  <c r="AE10" i="1" s="1"/>
  <c r="S12" i="1"/>
  <c r="V18" i="1"/>
  <c r="AE11" i="1"/>
  <c r="AA6" i="1"/>
  <c r="AB6" i="1" s="1"/>
  <c r="L6" i="1"/>
  <c r="AA2" i="1"/>
  <c r="AB2" i="1" s="1"/>
  <c r="L2" i="1"/>
  <c r="AE2" i="1" s="1"/>
  <c r="X6" i="1"/>
  <c r="Y6" i="1" s="1"/>
  <c r="V9" i="1"/>
  <c r="AE13" i="1"/>
  <c r="X14" i="1"/>
  <c r="Y14" i="1" s="1"/>
  <c r="S15" i="1"/>
  <c r="AA18" i="1"/>
  <c r="AB18" i="1" s="1"/>
  <c r="X16" i="1"/>
  <c r="Y16" i="1" s="1"/>
  <c r="X18" i="1"/>
  <c r="Y18" i="1" s="1"/>
  <c r="AE18" i="1" s="1"/>
  <c r="L16" i="1"/>
  <c r="AE16" i="1" s="1"/>
  <c r="X3" i="1"/>
  <c r="Y3" i="1" s="1"/>
  <c r="X5" i="1"/>
  <c r="Y5" i="1" s="1"/>
  <c r="AE5" i="1" s="1"/>
  <c r="X7" i="1"/>
  <c r="Y7" i="1" s="1"/>
  <c r="AE7" i="1" s="1"/>
  <c r="X9" i="1"/>
  <c r="Y9" i="1" s="1"/>
  <c r="AE9" i="1" s="1"/>
  <c r="X11" i="1"/>
  <c r="Y11" i="1" s="1"/>
  <c r="X13" i="1"/>
  <c r="Y13" i="1" s="1"/>
  <c r="X15" i="1"/>
  <c r="Y15" i="1" s="1"/>
  <c r="AE15" i="1" s="1"/>
  <c r="X17" i="1"/>
  <c r="Y17" i="1" s="1"/>
  <c r="AJ18" i="1" l="1"/>
  <c r="AK18" i="1" s="1"/>
  <c r="AF18" i="1"/>
  <c r="AJ7" i="1"/>
  <c r="AK7" i="1" s="1"/>
  <c r="AF7" i="1"/>
  <c r="AJ15" i="1"/>
  <c r="AK15" i="1" s="1"/>
  <c r="AF15" i="1"/>
  <c r="AJ5" i="1"/>
  <c r="AK5" i="1" s="1"/>
  <c r="AF5" i="1"/>
  <c r="AJ9" i="1"/>
  <c r="AK9" i="1" s="1"/>
  <c r="AF9" i="1"/>
  <c r="AE6" i="1"/>
  <c r="V6" i="1"/>
  <c r="AJ3" i="1"/>
  <c r="AK3" i="1" s="1"/>
  <c r="AF3" i="1"/>
  <c r="S6" i="1"/>
  <c r="V16" i="1"/>
  <c r="AJ10" i="1"/>
  <c r="AK10" i="1" s="1"/>
  <c r="AF10" i="1"/>
  <c r="AE14" i="1"/>
  <c r="V14" i="1"/>
  <c r="AE12" i="1"/>
  <c r="V12" i="1"/>
  <c r="V2" i="1"/>
  <c r="AJ17" i="1"/>
  <c r="AK17" i="1" s="1"/>
  <c r="AF17" i="1"/>
  <c r="AJ13" i="1"/>
  <c r="AK13" i="1" s="1"/>
  <c r="AF13" i="1"/>
  <c r="AJ8" i="1"/>
  <c r="AK8" i="1" s="1"/>
  <c r="AF8" i="1"/>
  <c r="AJ11" i="1"/>
  <c r="AK11" i="1" s="1"/>
  <c r="AF11" i="1"/>
  <c r="AE4" i="1"/>
  <c r="V4" i="1"/>
  <c r="AJ16" i="1"/>
  <c r="AK16" i="1" s="1"/>
  <c r="AF16" i="1"/>
  <c r="AJ2" i="1"/>
  <c r="AK2" i="1" s="1"/>
  <c r="AF2" i="1"/>
  <c r="V8" i="1"/>
  <c r="S8" i="1"/>
  <c r="V10" i="1"/>
  <c r="AJ14" i="1" l="1"/>
  <c r="AK14" i="1" s="1"/>
  <c r="AF14" i="1"/>
  <c r="AJ4" i="1"/>
  <c r="AK4" i="1" s="1"/>
  <c r="AF4" i="1"/>
  <c r="AJ12" i="1"/>
  <c r="AK12" i="1" s="1"/>
  <c r="AF12" i="1"/>
  <c r="AJ6" i="1"/>
  <c r="AK6" i="1" s="1"/>
  <c r="A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T1" authorId="0" shapeId="0" xr:uid="{00000000-0006-0000-0000-000001000000}">
      <text>
        <r>
          <rPr>
            <sz val="9"/>
            <color rgb="FF000000"/>
            <rFont val="宋体"/>
            <family val="3"/>
            <charset val="134"/>
          </rPr>
          <t>=（单位头程+入库费）*销量，单位人民币</t>
        </r>
        <r>
          <rPr>
            <sz val="10"/>
            <color rgb="FF000000"/>
            <rFont val="宋体"/>
            <family val="3"/>
            <charset val="134"/>
          </rPr>
          <t xml:space="preserve">
  - Roy L.</t>
        </r>
        <r>
          <rPr>
            <sz val="10"/>
            <rFont val="宋体"/>
            <family val="3"/>
            <charset val="134"/>
          </rPr>
          <t xml:space="preserve">
  - 张钰萍</t>
        </r>
      </text>
    </comment>
  </commentList>
</comments>
</file>

<file path=xl/sharedStrings.xml><?xml version="1.0" encoding="utf-8"?>
<sst xmlns="http://schemas.openxmlformats.org/spreadsheetml/2006/main" count="122" uniqueCount="47">
  <si>
    <t>部门</t>
  </si>
  <si>
    <t>负责人</t>
  </si>
  <si>
    <t>月份</t>
  </si>
  <si>
    <t>产品-站点</t>
  </si>
  <si>
    <t>品牌</t>
  </si>
  <si>
    <t>产品类型</t>
  </si>
  <si>
    <t>预估tiktok销量</t>
  </si>
  <si>
    <t>销售单价
（外币）</t>
  </si>
  <si>
    <t>销售单价
（RMB）</t>
  </si>
  <si>
    <t>汇率</t>
  </si>
  <si>
    <t>销售总收入
（美金）</t>
  </si>
  <si>
    <t>销售总收入
（RMB）</t>
  </si>
  <si>
    <t>退款率</t>
  </si>
  <si>
    <t>尾程费用（外币）</t>
  </si>
  <si>
    <t>尾程费用（RMB）</t>
  </si>
  <si>
    <t>尾程总费用（RMB）</t>
  </si>
  <si>
    <t>采购单价（RMB）</t>
  </si>
  <si>
    <t>产品总成本
（RMB）</t>
  </si>
  <si>
    <t>产品成本占比</t>
  </si>
  <si>
    <t>头程(RMB)</t>
  </si>
  <si>
    <t>总运费（￥）</t>
  </si>
  <si>
    <t>总运费占比</t>
  </si>
  <si>
    <t>平台佣金</t>
  </si>
  <si>
    <t>预计平台总抽点（$）</t>
  </si>
  <si>
    <t>预计平台总抽点（￥）</t>
  </si>
  <si>
    <t>达人佣金</t>
  </si>
  <si>
    <t>达人佣金（$）</t>
  </si>
  <si>
    <t>达人佣金（￥）</t>
  </si>
  <si>
    <t>广告费用$</t>
  </si>
  <si>
    <t>广告费用￥</t>
  </si>
  <si>
    <t>平台利润￥</t>
  </si>
  <si>
    <t>利润占比</t>
  </si>
  <si>
    <t>CPA（$）</t>
  </si>
  <si>
    <t>CPA（￥）</t>
  </si>
  <si>
    <t>总CPA（￥）</t>
  </si>
  <si>
    <t>总利润</t>
  </si>
  <si>
    <t>总利润占比</t>
  </si>
  <si>
    <t>tiktok</t>
  </si>
  <si>
    <t>陈家宇</t>
  </si>
  <si>
    <t>落叶L10</t>
  </si>
  <si>
    <t>Yousky</t>
  </si>
  <si>
    <t>自研自产</t>
  </si>
  <si>
    <t>落叶L11</t>
  </si>
  <si>
    <t>大手持H10</t>
  </si>
  <si>
    <t>大手持H11</t>
  </si>
  <si>
    <t>大手持H11Pro</t>
  </si>
  <si>
    <t>小手持T11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</si>
</sst>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&quot;US$&quot;#,##0.00;&quot;US$&quot;\-#,##0.00"/>
    <numFmt numFmtId="181" formatCode="0.00_ "/>
    <numFmt numFmtId="182" formatCode="0.00_);[Red]\(0.00\)"/>
  </numFmts>
  <fonts count="7">
    <font>
      <sz val="12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4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4B482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9E5D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4" fontId="2" fillId="6" borderId="2" xfId="0" applyNumberFormat="1" applyFont="1" applyFill="1" applyBorder="1" applyAlignment="1">
      <alignment horizontal="center" vertical="center"/>
    </xf>
    <xf numFmtId="182" fontId="2" fillId="6" borderId="2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9" fontId="1" fillId="6" borderId="0" xfId="0" applyNumberFormat="1" applyFont="1" applyFill="1" applyAlignment="1">
      <alignment horizontal="center" vertical="center"/>
    </xf>
    <xf numFmtId="9" fontId="2" fillId="6" borderId="2" xfId="0" applyNumberFormat="1" applyFont="1" applyFill="1" applyBorder="1" applyAlignment="1">
      <alignment horizontal="center" vertical="center"/>
    </xf>
    <xf numFmtId="10" fontId="1" fillId="6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9"/>
  <sheetViews>
    <sheetView tabSelected="1" zoomScale="125" workbookViewId="0">
      <pane xSplit="4" topLeftCell="E1" activePane="topRight" state="frozen"/>
      <selection pane="topRight" activeCell="G18" sqref="G18"/>
    </sheetView>
  </sheetViews>
  <sheetFormatPr baseColWidth="10" defaultColWidth="9" defaultRowHeight="14" customHeight="1"/>
  <cols>
    <col min="1" max="1" width="16.1640625" style="1" customWidth="1"/>
    <col min="2" max="3" width="9" style="1"/>
    <col min="4" max="4" width="11.1640625" style="1"/>
    <col min="5" max="5" width="12.33203125" style="1" customWidth="1"/>
    <col min="6" max="10" width="9" style="1"/>
    <col min="11" max="11" width="11.83203125" style="1"/>
    <col min="12" max="12" width="10.6640625" style="1" customWidth="1"/>
    <col min="13" max="20" width="9" style="1"/>
    <col min="21" max="22" width="12.83203125" style="1"/>
    <col min="23" max="24" width="9" style="1"/>
    <col min="25" max="25" width="10.33203125" style="1"/>
    <col min="26" max="27" width="9" style="1"/>
    <col min="28" max="28" width="9.33203125" style="1"/>
    <col min="29" max="29" width="9" style="1"/>
    <col min="30" max="31" width="10.5" style="1"/>
    <col min="32" max="32" width="12.83203125" style="1"/>
    <col min="33" max="33" width="10.5" style="1"/>
    <col min="34" max="35" width="9" style="1"/>
    <col min="36" max="36" width="10.5" style="1"/>
    <col min="37" max="37" width="12.83203125" style="1"/>
    <col min="38" max="40" width="9" style="1"/>
  </cols>
  <sheetData>
    <row r="1" spans="1:40" s="1" customFormat="1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6" t="s">
        <v>28</v>
      </c>
      <c r="AD1" s="6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7"/>
      <c r="AM1" s="7"/>
      <c r="AN1" s="7"/>
    </row>
    <row r="2" spans="1:40" ht="14.25" customHeight="1">
      <c r="A2" s="8" t="s">
        <v>37</v>
      </c>
      <c r="B2" s="8" t="s">
        <v>38</v>
      </c>
      <c r="C2" s="8">
        <v>6</v>
      </c>
      <c r="D2" s="9" t="s">
        <v>39</v>
      </c>
      <c r="E2" s="10" t="s">
        <v>40</v>
      </c>
      <c r="F2" s="10" t="s">
        <v>41</v>
      </c>
      <c r="G2" s="11">
        <v>500</v>
      </c>
      <c r="H2" s="12">
        <v>99.99</v>
      </c>
      <c r="I2" s="13">
        <f t="shared" ref="I2:I18" si="0">H2*J2</f>
        <v>679.9319999999999</v>
      </c>
      <c r="J2" s="14">
        <v>6.8</v>
      </c>
      <c r="K2" s="13">
        <f t="shared" ref="K2:K18" si="1">H2*G2</f>
        <v>49995</v>
      </c>
      <c r="L2" s="15">
        <f t="shared" ref="L2:L18" si="2">K2*J2</f>
        <v>339966</v>
      </c>
      <c r="M2" s="16">
        <v>0.05</v>
      </c>
      <c r="N2" s="12">
        <v>15</v>
      </c>
      <c r="O2" s="12">
        <f t="shared" ref="O2:O18" si="3">N2*J2</f>
        <v>102</v>
      </c>
      <c r="P2" s="15">
        <f t="shared" ref="P2:P18" si="4">O2*G2</f>
        <v>51000</v>
      </c>
      <c r="Q2" s="15">
        <v>180</v>
      </c>
      <c r="R2" s="15">
        <f t="shared" ref="R2:R18" si="5">Q2*G2</f>
        <v>90000</v>
      </c>
      <c r="S2" s="17">
        <f t="shared" ref="S2:S18" si="6">R2/L2</f>
        <v>0.2647323555885</v>
      </c>
      <c r="T2" s="12">
        <v>40</v>
      </c>
      <c r="U2" s="15">
        <f t="shared" ref="U2:U18" si="7">T2*G2</f>
        <v>20000</v>
      </c>
      <c r="V2" s="18">
        <f t="shared" ref="V2:V18" si="8">U2/L2</f>
        <v>5.8829412353000009E-2</v>
      </c>
      <c r="W2" s="16">
        <v>0.06</v>
      </c>
      <c r="X2" s="12">
        <f t="shared" ref="X2:X18" si="9">K2*W2</f>
        <v>2999.7</v>
      </c>
      <c r="Y2" s="19">
        <f t="shared" ref="Y2:Y18" si="10">X2*J2</f>
        <v>20397.96</v>
      </c>
      <c r="Z2" s="16">
        <v>0.05</v>
      </c>
      <c r="AA2" s="12">
        <f t="shared" ref="AA2:AA18" si="11">Z2*K2</f>
        <v>2499.75</v>
      </c>
      <c r="AB2" s="15">
        <f t="shared" ref="AB2:AB18" si="12">AA2*J2</f>
        <v>16998.3</v>
      </c>
      <c r="AC2" s="12">
        <v>5000</v>
      </c>
      <c r="AD2" s="15">
        <f t="shared" ref="AD2:AD18" si="13">AC2*J2</f>
        <v>34000</v>
      </c>
      <c r="AE2" s="15">
        <f t="shared" ref="AE2:AE18" si="14">L2-P2-R2-U2-Y2-AB2</f>
        <v>141569.74000000002</v>
      </c>
      <c r="AF2" s="18">
        <f t="shared" ref="AF2:AF18" si="15">AE2/L2</f>
        <v>0.41642323055835001</v>
      </c>
      <c r="AG2" s="12">
        <v>20</v>
      </c>
      <c r="AH2" s="12">
        <f t="shared" ref="AH2:AH18" si="16">AG2*J2</f>
        <v>136</v>
      </c>
      <c r="AI2" s="12">
        <f t="shared" ref="AI2:AI18" si="17">AH2*G2</f>
        <v>68000</v>
      </c>
      <c r="AJ2" s="12">
        <f t="shared" ref="AJ2:AJ18" si="18">AE2-AI2</f>
        <v>73569.74000000002</v>
      </c>
      <c r="AK2" s="18">
        <f t="shared" ref="AK2:AK18" si="19">AJ2/L2</f>
        <v>0.21640322855815</v>
      </c>
    </row>
    <row r="3" spans="1:40" ht="14.25" customHeight="1">
      <c r="A3" s="8" t="s">
        <v>37</v>
      </c>
      <c r="B3" s="8" t="s">
        <v>38</v>
      </c>
      <c r="C3" s="8">
        <v>6</v>
      </c>
      <c r="D3" s="9" t="s">
        <v>42</v>
      </c>
      <c r="E3" s="10" t="s">
        <v>40</v>
      </c>
      <c r="F3" s="10" t="s">
        <v>41</v>
      </c>
      <c r="G3" s="11">
        <v>1000</v>
      </c>
      <c r="H3" s="12">
        <v>99.99</v>
      </c>
      <c r="I3" s="13">
        <f t="shared" si="0"/>
        <v>679.9319999999999</v>
      </c>
      <c r="J3" s="14">
        <v>6.8</v>
      </c>
      <c r="K3" s="13">
        <f t="shared" si="1"/>
        <v>99990</v>
      </c>
      <c r="L3" s="15">
        <f t="shared" si="2"/>
        <v>679932</v>
      </c>
      <c r="M3" s="16">
        <v>0.05</v>
      </c>
      <c r="N3" s="12">
        <v>15</v>
      </c>
      <c r="O3" s="12">
        <f t="shared" si="3"/>
        <v>102</v>
      </c>
      <c r="P3" s="15">
        <f t="shared" si="4"/>
        <v>102000</v>
      </c>
      <c r="Q3" s="15">
        <v>180</v>
      </c>
      <c r="R3" s="15">
        <f t="shared" si="5"/>
        <v>180000</v>
      </c>
      <c r="S3" s="17">
        <f t="shared" si="6"/>
        <v>0.2647323555885</v>
      </c>
      <c r="T3" s="12">
        <v>40</v>
      </c>
      <c r="U3" s="15">
        <f t="shared" si="7"/>
        <v>40000</v>
      </c>
      <c r="V3" s="18">
        <f t="shared" si="8"/>
        <v>5.8829412353000009E-2</v>
      </c>
      <c r="W3" s="16">
        <v>0.06</v>
      </c>
      <c r="X3" s="12">
        <f t="shared" si="9"/>
        <v>5999.4</v>
      </c>
      <c r="Y3" s="19">
        <f t="shared" si="10"/>
        <v>40795.919999999998</v>
      </c>
      <c r="Z3" s="16">
        <v>0.05</v>
      </c>
      <c r="AA3" s="12">
        <f t="shared" si="11"/>
        <v>4999.5</v>
      </c>
      <c r="AB3" s="15">
        <f t="shared" si="12"/>
        <v>33996.6</v>
      </c>
      <c r="AC3" s="12">
        <v>5000</v>
      </c>
      <c r="AD3" s="15">
        <f t="shared" si="13"/>
        <v>34000</v>
      </c>
      <c r="AE3" s="15">
        <f t="shared" si="14"/>
        <v>283139.48000000004</v>
      </c>
      <c r="AF3" s="18">
        <f t="shared" si="15"/>
        <v>0.41642323055835001</v>
      </c>
      <c r="AG3" s="12">
        <v>20</v>
      </c>
      <c r="AH3" s="12">
        <f t="shared" si="16"/>
        <v>136</v>
      </c>
      <c r="AI3" s="12">
        <f t="shared" si="17"/>
        <v>136000</v>
      </c>
      <c r="AJ3" s="12">
        <f t="shared" si="18"/>
        <v>147139.48000000004</v>
      </c>
      <c r="AK3" s="18">
        <f t="shared" si="19"/>
        <v>0.21640322855815</v>
      </c>
    </row>
    <row r="4" spans="1:40" ht="19" customHeight="1">
      <c r="A4" s="8" t="s">
        <v>37</v>
      </c>
      <c r="B4" s="8" t="s">
        <v>38</v>
      </c>
      <c r="C4" s="8">
        <v>6</v>
      </c>
      <c r="D4" s="20" t="s">
        <v>43</v>
      </c>
      <c r="E4" s="10" t="s">
        <v>40</v>
      </c>
      <c r="F4" s="10" t="s">
        <v>41</v>
      </c>
      <c r="G4" s="11">
        <v>300</v>
      </c>
      <c r="H4" s="12">
        <v>99.99</v>
      </c>
      <c r="I4" s="13">
        <f t="shared" si="0"/>
        <v>679.9319999999999</v>
      </c>
      <c r="J4" s="14">
        <v>6.8</v>
      </c>
      <c r="K4" s="13">
        <f t="shared" si="1"/>
        <v>29997</v>
      </c>
      <c r="L4" s="15">
        <f t="shared" si="2"/>
        <v>203979.6</v>
      </c>
      <c r="M4" s="16">
        <v>0.05</v>
      </c>
      <c r="N4" s="12">
        <v>15</v>
      </c>
      <c r="O4" s="12">
        <f t="shared" si="3"/>
        <v>102</v>
      </c>
      <c r="P4" s="15">
        <f t="shared" si="4"/>
        <v>30600</v>
      </c>
      <c r="Q4" s="15">
        <v>178</v>
      </c>
      <c r="R4" s="15">
        <f t="shared" si="5"/>
        <v>53400</v>
      </c>
      <c r="S4" s="17">
        <f t="shared" si="6"/>
        <v>0.26179088497085001</v>
      </c>
      <c r="T4" s="12">
        <v>40</v>
      </c>
      <c r="U4" s="15">
        <f t="shared" si="7"/>
        <v>12000</v>
      </c>
      <c r="V4" s="18">
        <f t="shared" si="8"/>
        <v>5.8829412353000002E-2</v>
      </c>
      <c r="W4" s="16">
        <v>0.06</v>
      </c>
      <c r="X4" s="12">
        <f t="shared" si="9"/>
        <v>1799.82</v>
      </c>
      <c r="Y4" s="19">
        <f t="shared" si="10"/>
        <v>12238.776</v>
      </c>
      <c r="Z4" s="16">
        <v>0.05</v>
      </c>
      <c r="AA4" s="12">
        <f t="shared" si="11"/>
        <v>1499.8500000000001</v>
      </c>
      <c r="AB4" s="15">
        <f t="shared" si="12"/>
        <v>10198.980000000001</v>
      </c>
      <c r="AC4" s="12">
        <v>5000</v>
      </c>
      <c r="AD4" s="15">
        <f t="shared" si="13"/>
        <v>34000</v>
      </c>
      <c r="AE4" s="15">
        <f t="shared" si="14"/>
        <v>85541.844000000012</v>
      </c>
      <c r="AF4" s="18">
        <f t="shared" si="15"/>
        <v>0.419364701176</v>
      </c>
      <c r="AG4" s="12">
        <v>20</v>
      </c>
      <c r="AH4" s="12">
        <f t="shared" si="16"/>
        <v>136</v>
      </c>
      <c r="AI4" s="12">
        <f t="shared" si="17"/>
        <v>40800</v>
      </c>
      <c r="AJ4" s="12">
        <f t="shared" si="18"/>
        <v>44741.844000000012</v>
      </c>
      <c r="AK4" s="18">
        <f t="shared" si="19"/>
        <v>0.21934469917579999</v>
      </c>
    </row>
    <row r="5" spans="1:40" ht="19" customHeight="1">
      <c r="A5" s="8" t="s">
        <v>37</v>
      </c>
      <c r="B5" s="8" t="s">
        <v>38</v>
      </c>
      <c r="C5" s="8">
        <v>6</v>
      </c>
      <c r="D5" s="20" t="s">
        <v>44</v>
      </c>
      <c r="E5" s="10" t="s">
        <v>40</v>
      </c>
      <c r="F5" s="10" t="s">
        <v>41</v>
      </c>
      <c r="G5" s="11">
        <v>200</v>
      </c>
      <c r="H5" s="12">
        <v>99.99</v>
      </c>
      <c r="I5" s="13">
        <f t="shared" si="0"/>
        <v>679.9319999999999</v>
      </c>
      <c r="J5" s="14">
        <v>6.8</v>
      </c>
      <c r="K5" s="13">
        <f t="shared" si="1"/>
        <v>19998</v>
      </c>
      <c r="L5" s="15">
        <f t="shared" si="2"/>
        <v>135986.4</v>
      </c>
      <c r="M5" s="16">
        <v>0.05</v>
      </c>
      <c r="N5" s="12">
        <v>15</v>
      </c>
      <c r="O5" s="12">
        <f t="shared" si="3"/>
        <v>102</v>
      </c>
      <c r="P5" s="15">
        <f t="shared" si="4"/>
        <v>20400</v>
      </c>
      <c r="Q5" s="15">
        <v>178</v>
      </c>
      <c r="R5" s="15">
        <f t="shared" si="5"/>
        <v>35600</v>
      </c>
      <c r="S5" s="17">
        <f t="shared" si="6"/>
        <v>0.26179088497085001</v>
      </c>
      <c r="T5" s="12">
        <v>40</v>
      </c>
      <c r="U5" s="15">
        <f t="shared" si="7"/>
        <v>8000</v>
      </c>
      <c r="V5" s="18">
        <f t="shared" si="8"/>
        <v>5.8829412353000009E-2</v>
      </c>
      <c r="W5" s="16">
        <v>0.06</v>
      </c>
      <c r="X5" s="12">
        <f t="shared" si="9"/>
        <v>1199.8799999999999</v>
      </c>
      <c r="Y5" s="19">
        <f t="shared" si="10"/>
        <v>8159.1839999999993</v>
      </c>
      <c r="Z5" s="16">
        <v>0.05</v>
      </c>
      <c r="AA5" s="12">
        <f t="shared" si="11"/>
        <v>999.90000000000009</v>
      </c>
      <c r="AB5" s="15">
        <f t="shared" si="12"/>
        <v>6799.3200000000006</v>
      </c>
      <c r="AC5" s="12">
        <v>5000</v>
      </c>
      <c r="AD5" s="15">
        <f t="shared" si="13"/>
        <v>34000</v>
      </c>
      <c r="AE5" s="15">
        <f t="shared" si="14"/>
        <v>57027.895999999993</v>
      </c>
      <c r="AF5" s="18">
        <f t="shared" si="15"/>
        <v>0.41936470117599994</v>
      </c>
      <c r="AG5" s="12">
        <v>20</v>
      </c>
      <c r="AH5" s="12">
        <f t="shared" si="16"/>
        <v>136</v>
      </c>
      <c r="AI5" s="12">
        <f t="shared" si="17"/>
        <v>27200</v>
      </c>
      <c r="AJ5" s="12">
        <f t="shared" si="18"/>
        <v>29827.895999999993</v>
      </c>
      <c r="AK5" s="18">
        <f t="shared" si="19"/>
        <v>0.21934469917579991</v>
      </c>
    </row>
    <row r="6" spans="1:40" ht="23" customHeight="1">
      <c r="A6" s="8" t="s">
        <v>37</v>
      </c>
      <c r="B6" s="8" t="s">
        <v>38</v>
      </c>
      <c r="C6" s="8">
        <v>6</v>
      </c>
      <c r="D6" s="9" t="s">
        <v>46</v>
      </c>
      <c r="E6" s="10" t="s">
        <v>40</v>
      </c>
      <c r="F6" s="10" t="s">
        <v>41</v>
      </c>
      <c r="G6" s="11">
        <v>10</v>
      </c>
      <c r="H6" s="12">
        <v>59.99</v>
      </c>
      <c r="I6" s="13">
        <f t="shared" si="0"/>
        <v>407.93200000000002</v>
      </c>
      <c r="J6" s="14">
        <v>6.8</v>
      </c>
      <c r="K6" s="13">
        <f t="shared" si="1"/>
        <v>599.9</v>
      </c>
      <c r="L6" s="15">
        <f t="shared" si="2"/>
        <v>4079.3199999999997</v>
      </c>
      <c r="M6" s="16">
        <v>0.15</v>
      </c>
      <c r="N6" s="12">
        <v>8</v>
      </c>
      <c r="O6" s="12">
        <f t="shared" si="3"/>
        <v>54.4</v>
      </c>
      <c r="P6" s="15">
        <f t="shared" si="4"/>
        <v>544</v>
      </c>
      <c r="Q6" s="15">
        <v>135</v>
      </c>
      <c r="R6" s="15">
        <f t="shared" si="5"/>
        <v>1350</v>
      </c>
      <c r="S6" s="17">
        <f t="shared" si="6"/>
        <v>0.33093750919270859</v>
      </c>
      <c r="T6" s="12">
        <v>19</v>
      </c>
      <c r="U6" s="15">
        <f t="shared" si="7"/>
        <v>190</v>
      </c>
      <c r="V6" s="18">
        <f t="shared" si="8"/>
        <v>4.6576390182677507E-2</v>
      </c>
      <c r="W6" s="16">
        <v>0.06</v>
      </c>
      <c r="X6" s="12">
        <f t="shared" si="9"/>
        <v>35.994</v>
      </c>
      <c r="Y6" s="19">
        <f t="shared" si="10"/>
        <v>244.75919999999999</v>
      </c>
      <c r="Z6" s="16">
        <v>0.05</v>
      </c>
      <c r="AA6" s="12">
        <f t="shared" si="11"/>
        <v>29.995000000000001</v>
      </c>
      <c r="AB6" s="15">
        <f t="shared" si="12"/>
        <v>203.96600000000001</v>
      </c>
      <c r="AC6" s="12">
        <v>0</v>
      </c>
      <c r="AD6" s="15">
        <f t="shared" si="13"/>
        <v>0</v>
      </c>
      <c r="AE6" s="15">
        <f t="shared" si="14"/>
        <v>1546.5947999999999</v>
      </c>
      <c r="AF6" s="18">
        <f t="shared" si="15"/>
        <v>0.37913054136473723</v>
      </c>
      <c r="AG6" s="12"/>
      <c r="AH6" s="12">
        <f t="shared" si="16"/>
        <v>0</v>
      </c>
      <c r="AI6" s="12">
        <f t="shared" si="17"/>
        <v>0</v>
      </c>
      <c r="AJ6" s="12">
        <f t="shared" si="18"/>
        <v>1546.5947999999999</v>
      </c>
      <c r="AK6" s="18">
        <f t="shared" si="19"/>
        <v>0.37913054136473723</v>
      </c>
    </row>
    <row r="7" spans="1:40" s="1" customFormat="1" ht="14.25" customHeight="1">
      <c r="A7" s="1" t="s">
        <v>37</v>
      </c>
      <c r="B7" s="1" t="s">
        <v>38</v>
      </c>
      <c r="C7" s="1">
        <v>7</v>
      </c>
      <c r="D7" s="10" t="s">
        <v>39</v>
      </c>
      <c r="E7" s="21" t="s">
        <v>40</v>
      </c>
      <c r="F7" s="21" t="s">
        <v>41</v>
      </c>
      <c r="G7" s="11">
        <v>500</v>
      </c>
      <c r="H7" s="1">
        <v>99.99</v>
      </c>
      <c r="I7" s="22">
        <f t="shared" si="0"/>
        <v>679.9319999999999</v>
      </c>
      <c r="J7" s="23">
        <v>6.8</v>
      </c>
      <c r="K7" s="22">
        <f t="shared" si="1"/>
        <v>49995</v>
      </c>
      <c r="L7" s="1">
        <f t="shared" si="2"/>
        <v>339966</v>
      </c>
      <c r="M7" s="24">
        <v>0.05</v>
      </c>
      <c r="N7" s="1">
        <v>15</v>
      </c>
      <c r="O7" s="1">
        <f t="shared" si="3"/>
        <v>102</v>
      </c>
      <c r="P7" s="1">
        <f t="shared" si="4"/>
        <v>51000</v>
      </c>
      <c r="Q7" s="1">
        <v>180</v>
      </c>
      <c r="R7" s="1">
        <f t="shared" si="5"/>
        <v>90000</v>
      </c>
      <c r="S7" s="25">
        <f t="shared" si="6"/>
        <v>0.2647323555885</v>
      </c>
      <c r="T7" s="1">
        <v>40</v>
      </c>
      <c r="U7" s="1">
        <f t="shared" si="7"/>
        <v>20000</v>
      </c>
      <c r="V7" s="26">
        <f t="shared" si="8"/>
        <v>5.8829412353000009E-2</v>
      </c>
      <c r="W7" s="24">
        <v>0.06</v>
      </c>
      <c r="X7" s="1">
        <f t="shared" si="9"/>
        <v>2999.7</v>
      </c>
      <c r="Y7" s="1">
        <f t="shared" si="10"/>
        <v>20397.96</v>
      </c>
      <c r="Z7" s="24">
        <v>0.05</v>
      </c>
      <c r="AA7" s="1">
        <f t="shared" si="11"/>
        <v>2499.75</v>
      </c>
      <c r="AB7" s="1">
        <f t="shared" si="12"/>
        <v>16998.3</v>
      </c>
      <c r="AC7" s="1">
        <v>5000</v>
      </c>
      <c r="AD7" s="1">
        <f t="shared" si="13"/>
        <v>34000</v>
      </c>
      <c r="AE7" s="1">
        <f t="shared" si="14"/>
        <v>141569.74000000002</v>
      </c>
      <c r="AF7" s="26">
        <f t="shared" si="15"/>
        <v>0.41642323055835001</v>
      </c>
      <c r="AG7" s="1">
        <v>20</v>
      </c>
      <c r="AH7" s="1">
        <f t="shared" si="16"/>
        <v>136</v>
      </c>
      <c r="AI7" s="1">
        <f t="shared" si="17"/>
        <v>68000</v>
      </c>
      <c r="AJ7" s="1">
        <f t="shared" si="18"/>
        <v>73569.74000000002</v>
      </c>
      <c r="AK7" s="26">
        <f t="shared" si="19"/>
        <v>0.21640322855815</v>
      </c>
    </row>
    <row r="8" spans="1:40" s="1" customFormat="1" ht="14.25" customHeight="1">
      <c r="A8" s="1" t="s">
        <v>37</v>
      </c>
      <c r="B8" s="1" t="s">
        <v>38</v>
      </c>
      <c r="C8" s="1">
        <v>7</v>
      </c>
      <c r="D8" s="10" t="s">
        <v>42</v>
      </c>
      <c r="E8" s="21" t="s">
        <v>40</v>
      </c>
      <c r="F8" s="21" t="s">
        <v>41</v>
      </c>
      <c r="G8" s="11">
        <v>1000</v>
      </c>
      <c r="H8" s="1">
        <v>99.99</v>
      </c>
      <c r="I8" s="22">
        <f t="shared" si="0"/>
        <v>679.9319999999999</v>
      </c>
      <c r="J8" s="23">
        <v>6.8</v>
      </c>
      <c r="K8" s="22">
        <f t="shared" si="1"/>
        <v>99990</v>
      </c>
      <c r="L8" s="1">
        <f t="shared" si="2"/>
        <v>679932</v>
      </c>
      <c r="M8" s="24">
        <v>0.05</v>
      </c>
      <c r="N8" s="1">
        <v>15</v>
      </c>
      <c r="O8" s="1">
        <f t="shared" si="3"/>
        <v>102</v>
      </c>
      <c r="P8" s="1">
        <f t="shared" si="4"/>
        <v>102000</v>
      </c>
      <c r="Q8" s="1">
        <v>180</v>
      </c>
      <c r="R8" s="1">
        <f t="shared" si="5"/>
        <v>180000</v>
      </c>
      <c r="S8" s="25">
        <f t="shared" si="6"/>
        <v>0.2647323555885</v>
      </c>
      <c r="T8" s="1">
        <v>40</v>
      </c>
      <c r="U8" s="1">
        <f t="shared" si="7"/>
        <v>40000</v>
      </c>
      <c r="V8" s="26">
        <f t="shared" si="8"/>
        <v>5.8829412353000009E-2</v>
      </c>
      <c r="W8" s="24">
        <v>0.06</v>
      </c>
      <c r="X8" s="1">
        <f t="shared" si="9"/>
        <v>5999.4</v>
      </c>
      <c r="Y8" s="1">
        <f t="shared" si="10"/>
        <v>40795.919999999998</v>
      </c>
      <c r="Z8" s="24">
        <v>0.05</v>
      </c>
      <c r="AA8" s="1">
        <f t="shared" si="11"/>
        <v>4999.5</v>
      </c>
      <c r="AB8" s="1">
        <f t="shared" si="12"/>
        <v>33996.6</v>
      </c>
      <c r="AC8" s="1">
        <v>5000</v>
      </c>
      <c r="AD8" s="1">
        <f t="shared" si="13"/>
        <v>34000</v>
      </c>
      <c r="AE8" s="1">
        <f t="shared" si="14"/>
        <v>283139.48000000004</v>
      </c>
      <c r="AF8" s="26">
        <f t="shared" si="15"/>
        <v>0.41642323055835001</v>
      </c>
      <c r="AG8" s="1">
        <v>20</v>
      </c>
      <c r="AH8" s="1">
        <f t="shared" si="16"/>
        <v>136</v>
      </c>
      <c r="AI8" s="1">
        <f t="shared" si="17"/>
        <v>136000</v>
      </c>
      <c r="AJ8" s="1">
        <f t="shared" si="18"/>
        <v>147139.48000000004</v>
      </c>
      <c r="AK8" s="26">
        <f t="shared" si="19"/>
        <v>0.21640322855815</v>
      </c>
    </row>
    <row r="9" spans="1:40" s="1" customFormat="1" ht="19" customHeight="1">
      <c r="A9" s="1" t="s">
        <v>37</v>
      </c>
      <c r="B9" s="1" t="s">
        <v>38</v>
      </c>
      <c r="C9" s="1">
        <v>7</v>
      </c>
      <c r="D9" s="10" t="s">
        <v>43</v>
      </c>
      <c r="E9" s="21" t="s">
        <v>40</v>
      </c>
      <c r="F9" s="21" t="s">
        <v>41</v>
      </c>
      <c r="G9" s="11">
        <v>200</v>
      </c>
      <c r="H9" s="1">
        <v>99.99</v>
      </c>
      <c r="I9" s="22">
        <f t="shared" si="0"/>
        <v>679.9319999999999</v>
      </c>
      <c r="J9" s="23">
        <v>6.8</v>
      </c>
      <c r="K9" s="22">
        <f t="shared" si="1"/>
        <v>19998</v>
      </c>
      <c r="L9" s="1">
        <f t="shared" si="2"/>
        <v>135986.4</v>
      </c>
      <c r="M9" s="24">
        <v>0.05</v>
      </c>
      <c r="N9" s="1">
        <v>15</v>
      </c>
      <c r="O9" s="1">
        <f t="shared" si="3"/>
        <v>102</v>
      </c>
      <c r="P9" s="1">
        <f t="shared" si="4"/>
        <v>20400</v>
      </c>
      <c r="Q9" s="1">
        <v>178</v>
      </c>
      <c r="R9" s="1">
        <f t="shared" si="5"/>
        <v>35600</v>
      </c>
      <c r="S9" s="25">
        <f t="shared" si="6"/>
        <v>0.26179088497085001</v>
      </c>
      <c r="T9" s="1">
        <v>40</v>
      </c>
      <c r="U9" s="1">
        <f t="shared" si="7"/>
        <v>8000</v>
      </c>
      <c r="V9" s="26">
        <f t="shared" si="8"/>
        <v>5.8829412353000009E-2</v>
      </c>
      <c r="W9" s="24">
        <v>0.06</v>
      </c>
      <c r="X9" s="1">
        <f t="shared" si="9"/>
        <v>1199.8799999999999</v>
      </c>
      <c r="Y9" s="1">
        <f t="shared" si="10"/>
        <v>8159.1839999999993</v>
      </c>
      <c r="Z9" s="24">
        <v>0.05</v>
      </c>
      <c r="AA9" s="1">
        <f t="shared" si="11"/>
        <v>999.90000000000009</v>
      </c>
      <c r="AB9" s="1">
        <f t="shared" si="12"/>
        <v>6799.3200000000006</v>
      </c>
      <c r="AC9" s="1">
        <v>5000</v>
      </c>
      <c r="AD9" s="1">
        <f t="shared" si="13"/>
        <v>34000</v>
      </c>
      <c r="AE9" s="1">
        <f t="shared" si="14"/>
        <v>57027.895999999993</v>
      </c>
      <c r="AF9" s="26">
        <f t="shared" si="15"/>
        <v>0.41936470117599994</v>
      </c>
      <c r="AG9" s="1">
        <v>20</v>
      </c>
      <c r="AH9" s="1">
        <f t="shared" si="16"/>
        <v>136</v>
      </c>
      <c r="AI9" s="1">
        <f t="shared" si="17"/>
        <v>27200</v>
      </c>
      <c r="AJ9" s="1">
        <f t="shared" si="18"/>
        <v>29827.895999999993</v>
      </c>
      <c r="AK9" s="26">
        <f t="shared" si="19"/>
        <v>0.21934469917579991</v>
      </c>
    </row>
    <row r="10" spans="1:40" s="1" customFormat="1" ht="19" customHeight="1">
      <c r="A10" s="1" t="s">
        <v>37</v>
      </c>
      <c r="B10" s="1" t="s">
        <v>38</v>
      </c>
      <c r="C10" s="1">
        <v>7</v>
      </c>
      <c r="D10" s="10" t="s">
        <v>44</v>
      </c>
      <c r="E10" s="21" t="s">
        <v>40</v>
      </c>
      <c r="F10" s="21" t="s">
        <v>41</v>
      </c>
      <c r="G10" s="11">
        <v>400</v>
      </c>
      <c r="H10" s="1">
        <v>99.99</v>
      </c>
      <c r="I10" s="22">
        <f t="shared" si="0"/>
        <v>679.9319999999999</v>
      </c>
      <c r="J10" s="23">
        <v>6.8</v>
      </c>
      <c r="K10" s="22">
        <f t="shared" si="1"/>
        <v>39996</v>
      </c>
      <c r="L10" s="1">
        <f t="shared" si="2"/>
        <v>271972.8</v>
      </c>
      <c r="M10" s="24">
        <v>0.05</v>
      </c>
      <c r="N10" s="1">
        <v>15</v>
      </c>
      <c r="O10" s="1">
        <f t="shared" si="3"/>
        <v>102</v>
      </c>
      <c r="P10" s="1">
        <f t="shared" si="4"/>
        <v>40800</v>
      </c>
      <c r="Q10" s="1">
        <v>178</v>
      </c>
      <c r="R10" s="1">
        <f t="shared" si="5"/>
        <v>71200</v>
      </c>
      <c r="S10" s="25">
        <f t="shared" si="6"/>
        <v>0.26179088497085001</v>
      </c>
      <c r="T10" s="1">
        <v>40</v>
      </c>
      <c r="U10" s="1">
        <f t="shared" si="7"/>
        <v>16000</v>
      </c>
      <c r="V10" s="26">
        <f t="shared" si="8"/>
        <v>5.8829412353000009E-2</v>
      </c>
      <c r="W10" s="24">
        <v>0.06</v>
      </c>
      <c r="X10" s="1">
        <f t="shared" si="9"/>
        <v>2399.7599999999998</v>
      </c>
      <c r="Y10" s="1">
        <f t="shared" si="10"/>
        <v>16318.367999999999</v>
      </c>
      <c r="Z10" s="24">
        <v>0.05</v>
      </c>
      <c r="AA10" s="1">
        <f t="shared" si="11"/>
        <v>1999.8000000000002</v>
      </c>
      <c r="AB10" s="1">
        <f t="shared" si="12"/>
        <v>13598.640000000001</v>
      </c>
      <c r="AC10" s="1">
        <v>5000</v>
      </c>
      <c r="AD10" s="1">
        <f t="shared" si="13"/>
        <v>34000</v>
      </c>
      <c r="AE10" s="1">
        <f t="shared" si="14"/>
        <v>114055.79199999999</v>
      </c>
      <c r="AF10" s="26">
        <f t="shared" si="15"/>
        <v>0.41936470117599994</v>
      </c>
      <c r="AG10" s="1">
        <v>20</v>
      </c>
      <c r="AH10" s="1">
        <f t="shared" si="16"/>
        <v>136</v>
      </c>
      <c r="AI10" s="1">
        <f t="shared" si="17"/>
        <v>54400</v>
      </c>
      <c r="AJ10" s="1">
        <f t="shared" si="18"/>
        <v>59655.791999999987</v>
      </c>
      <c r="AK10" s="26">
        <f t="shared" si="19"/>
        <v>0.21934469917579991</v>
      </c>
    </row>
    <row r="11" spans="1:40" s="1" customFormat="1" ht="19" customHeight="1">
      <c r="A11" s="1" t="s">
        <v>37</v>
      </c>
      <c r="B11" s="1" t="s">
        <v>38</v>
      </c>
      <c r="C11" s="1">
        <v>7</v>
      </c>
      <c r="D11" s="10" t="s">
        <v>45</v>
      </c>
      <c r="E11" s="21" t="s">
        <v>40</v>
      </c>
      <c r="F11" s="21" t="s">
        <v>41</v>
      </c>
      <c r="G11" s="11">
        <v>100</v>
      </c>
      <c r="H11" s="1">
        <v>99.99</v>
      </c>
      <c r="I11" s="22">
        <f t="shared" si="0"/>
        <v>679.9319999999999</v>
      </c>
      <c r="J11" s="23">
        <v>6.8</v>
      </c>
      <c r="K11" s="22">
        <f t="shared" si="1"/>
        <v>9999</v>
      </c>
      <c r="L11" s="1">
        <f t="shared" si="2"/>
        <v>67993.2</v>
      </c>
      <c r="M11" s="24">
        <v>0.05</v>
      </c>
      <c r="N11" s="1">
        <v>15</v>
      </c>
      <c r="O11" s="1">
        <f t="shared" si="3"/>
        <v>102</v>
      </c>
      <c r="P11" s="1">
        <f t="shared" si="4"/>
        <v>10200</v>
      </c>
      <c r="Q11" s="1">
        <v>178</v>
      </c>
      <c r="R11" s="1">
        <f t="shared" si="5"/>
        <v>17800</v>
      </c>
      <c r="S11" s="25">
        <f t="shared" si="6"/>
        <v>0.26179088497085001</v>
      </c>
      <c r="T11" s="1">
        <v>40</v>
      </c>
      <c r="U11" s="1">
        <f t="shared" si="7"/>
        <v>4000</v>
      </c>
      <c r="V11" s="26">
        <f t="shared" si="8"/>
        <v>5.8829412353000009E-2</v>
      </c>
      <c r="W11" s="24">
        <v>0.06</v>
      </c>
      <c r="X11" s="1">
        <f t="shared" si="9"/>
        <v>599.93999999999994</v>
      </c>
      <c r="Y11" s="1">
        <f t="shared" si="10"/>
        <v>4079.5919999999996</v>
      </c>
      <c r="Z11" s="24">
        <v>0.05</v>
      </c>
      <c r="AA11" s="1">
        <f t="shared" si="11"/>
        <v>499.95000000000005</v>
      </c>
      <c r="AB11" s="1">
        <f t="shared" si="12"/>
        <v>3399.6600000000003</v>
      </c>
      <c r="AC11" s="1">
        <v>5000</v>
      </c>
      <c r="AD11" s="1">
        <f t="shared" si="13"/>
        <v>34000</v>
      </c>
      <c r="AE11" s="1">
        <f t="shared" si="14"/>
        <v>28513.947999999997</v>
      </c>
      <c r="AF11" s="26">
        <f t="shared" si="15"/>
        <v>0.41936470117599994</v>
      </c>
      <c r="AG11" s="1">
        <v>20</v>
      </c>
      <c r="AH11" s="1">
        <f t="shared" si="16"/>
        <v>136</v>
      </c>
      <c r="AI11" s="1">
        <f t="shared" si="17"/>
        <v>13600</v>
      </c>
      <c r="AJ11" s="1">
        <f t="shared" si="18"/>
        <v>14913.947999999997</v>
      </c>
      <c r="AK11" s="26">
        <f t="shared" si="19"/>
        <v>0.21934469917579991</v>
      </c>
    </row>
    <row r="12" spans="1:40" s="1" customFormat="1" ht="23" customHeight="1">
      <c r="A12" s="1" t="s">
        <v>37</v>
      </c>
      <c r="B12" s="1" t="s">
        <v>38</v>
      </c>
      <c r="C12" s="1">
        <v>7</v>
      </c>
      <c r="D12" s="10" t="s">
        <v>46</v>
      </c>
      <c r="E12" s="21" t="s">
        <v>40</v>
      </c>
      <c r="F12" s="21" t="s">
        <v>41</v>
      </c>
      <c r="G12" s="27">
        <v>10</v>
      </c>
      <c r="H12" s="1">
        <v>59.99</v>
      </c>
      <c r="I12" s="22">
        <f t="shared" si="0"/>
        <v>407.93200000000002</v>
      </c>
      <c r="J12" s="23">
        <v>6.8</v>
      </c>
      <c r="K12" s="22">
        <f t="shared" si="1"/>
        <v>599.9</v>
      </c>
      <c r="L12" s="1">
        <f t="shared" si="2"/>
        <v>4079.3199999999997</v>
      </c>
      <c r="M12" s="24">
        <v>0.15</v>
      </c>
      <c r="N12" s="1">
        <v>8</v>
      </c>
      <c r="O12" s="1">
        <f t="shared" si="3"/>
        <v>54.4</v>
      </c>
      <c r="P12" s="1">
        <f t="shared" si="4"/>
        <v>544</v>
      </c>
      <c r="Q12" s="1">
        <v>135</v>
      </c>
      <c r="R12" s="1">
        <f t="shared" si="5"/>
        <v>1350</v>
      </c>
      <c r="S12" s="25">
        <f t="shared" si="6"/>
        <v>0.33093750919270859</v>
      </c>
      <c r="T12" s="1">
        <v>19</v>
      </c>
      <c r="U12" s="1">
        <f t="shared" si="7"/>
        <v>190</v>
      </c>
      <c r="V12" s="26">
        <f t="shared" si="8"/>
        <v>4.6576390182677507E-2</v>
      </c>
      <c r="W12" s="24">
        <v>0.06</v>
      </c>
      <c r="X12" s="1">
        <f t="shared" si="9"/>
        <v>35.994</v>
      </c>
      <c r="Y12" s="1">
        <f t="shared" si="10"/>
        <v>244.75919999999999</v>
      </c>
      <c r="Z12" s="24">
        <v>0.05</v>
      </c>
      <c r="AA12" s="1">
        <f t="shared" si="11"/>
        <v>29.995000000000001</v>
      </c>
      <c r="AB12" s="1">
        <f t="shared" si="12"/>
        <v>203.96600000000001</v>
      </c>
      <c r="AC12" s="1">
        <v>0</v>
      </c>
      <c r="AD12" s="1">
        <f t="shared" si="13"/>
        <v>0</v>
      </c>
      <c r="AE12" s="1">
        <f t="shared" si="14"/>
        <v>1546.5947999999999</v>
      </c>
      <c r="AF12" s="26">
        <f t="shared" si="15"/>
        <v>0.37913054136473723</v>
      </c>
      <c r="AH12" s="1">
        <f t="shared" si="16"/>
        <v>0</v>
      </c>
      <c r="AI12" s="1">
        <f t="shared" si="17"/>
        <v>0</v>
      </c>
      <c r="AJ12" s="1">
        <f t="shared" si="18"/>
        <v>1546.5947999999999</v>
      </c>
      <c r="AK12" s="26">
        <f t="shared" si="19"/>
        <v>0.37913054136473723</v>
      </c>
    </row>
    <row r="13" spans="1:40" s="1" customFormat="1" ht="14.25" customHeight="1">
      <c r="A13" s="28" t="s">
        <v>37</v>
      </c>
      <c r="B13" s="28" t="s">
        <v>38</v>
      </c>
      <c r="C13" s="28">
        <v>8</v>
      </c>
      <c r="D13" s="9" t="s">
        <v>39</v>
      </c>
      <c r="E13" s="21" t="s">
        <v>40</v>
      </c>
      <c r="F13" s="21" t="s">
        <v>41</v>
      </c>
      <c r="G13" s="27">
        <v>300</v>
      </c>
      <c r="H13" s="1">
        <v>99.99</v>
      </c>
      <c r="I13" s="22">
        <f t="shared" si="0"/>
        <v>679.9319999999999</v>
      </c>
      <c r="J13" s="23">
        <v>6.8</v>
      </c>
      <c r="K13" s="22">
        <f t="shared" si="1"/>
        <v>29997</v>
      </c>
      <c r="L13" s="1">
        <f t="shared" si="2"/>
        <v>203979.6</v>
      </c>
      <c r="M13" s="24">
        <v>0.05</v>
      </c>
      <c r="N13" s="1">
        <v>15</v>
      </c>
      <c r="O13" s="1">
        <f t="shared" si="3"/>
        <v>102</v>
      </c>
      <c r="P13" s="1">
        <f t="shared" si="4"/>
        <v>30600</v>
      </c>
      <c r="Q13" s="1">
        <v>180</v>
      </c>
      <c r="R13" s="1">
        <f t="shared" si="5"/>
        <v>54000</v>
      </c>
      <c r="S13" s="25">
        <f t="shared" si="6"/>
        <v>0.2647323555885</v>
      </c>
      <c r="T13" s="1">
        <v>40</v>
      </c>
      <c r="U13" s="1">
        <f t="shared" si="7"/>
        <v>12000</v>
      </c>
      <c r="V13" s="26">
        <f t="shared" si="8"/>
        <v>5.8829412353000002E-2</v>
      </c>
      <c r="W13" s="24">
        <v>0.06</v>
      </c>
      <c r="X13" s="1">
        <f t="shared" si="9"/>
        <v>1799.82</v>
      </c>
      <c r="Y13" s="1">
        <f t="shared" si="10"/>
        <v>12238.776</v>
      </c>
      <c r="Z13" s="24">
        <v>0.05</v>
      </c>
      <c r="AA13" s="1">
        <f t="shared" si="11"/>
        <v>1499.8500000000001</v>
      </c>
      <c r="AB13" s="1">
        <f t="shared" si="12"/>
        <v>10198.980000000001</v>
      </c>
      <c r="AC13" s="1">
        <v>5000</v>
      </c>
      <c r="AD13" s="1">
        <f t="shared" si="13"/>
        <v>34000</v>
      </c>
      <c r="AE13" s="1">
        <f t="shared" si="14"/>
        <v>84941.844000000012</v>
      </c>
      <c r="AF13" s="26">
        <f t="shared" si="15"/>
        <v>0.41642323055835001</v>
      </c>
      <c r="AG13" s="1">
        <v>20</v>
      </c>
      <c r="AH13" s="1">
        <f t="shared" si="16"/>
        <v>136</v>
      </c>
      <c r="AI13" s="1">
        <f t="shared" si="17"/>
        <v>40800</v>
      </c>
      <c r="AJ13" s="1">
        <f t="shared" si="18"/>
        <v>44141.844000000012</v>
      </c>
      <c r="AK13" s="26">
        <f t="shared" si="19"/>
        <v>0.21640322855814997</v>
      </c>
    </row>
    <row r="14" spans="1:40" s="1" customFormat="1" ht="14.25" customHeight="1">
      <c r="A14" s="28" t="s">
        <v>37</v>
      </c>
      <c r="B14" s="28" t="s">
        <v>38</v>
      </c>
      <c r="C14" s="28">
        <v>8</v>
      </c>
      <c r="D14" s="9" t="s">
        <v>42</v>
      </c>
      <c r="E14" s="21" t="s">
        <v>40</v>
      </c>
      <c r="F14" s="21" t="s">
        <v>41</v>
      </c>
      <c r="G14" s="27">
        <v>800</v>
      </c>
      <c r="H14" s="1">
        <v>99.99</v>
      </c>
      <c r="I14" s="22">
        <f t="shared" si="0"/>
        <v>679.9319999999999</v>
      </c>
      <c r="J14" s="23">
        <v>6.8</v>
      </c>
      <c r="K14" s="22">
        <f t="shared" si="1"/>
        <v>79992</v>
      </c>
      <c r="L14" s="1">
        <f t="shared" si="2"/>
        <v>543945.6</v>
      </c>
      <c r="M14" s="24">
        <v>0.05</v>
      </c>
      <c r="N14" s="1">
        <v>15</v>
      </c>
      <c r="O14" s="1">
        <f t="shared" si="3"/>
        <v>102</v>
      </c>
      <c r="P14" s="1">
        <f t="shared" si="4"/>
        <v>81600</v>
      </c>
      <c r="Q14" s="1">
        <v>180</v>
      </c>
      <c r="R14" s="1">
        <f t="shared" si="5"/>
        <v>144000</v>
      </c>
      <c r="S14" s="25">
        <f t="shared" si="6"/>
        <v>0.26473235558850006</v>
      </c>
      <c r="T14" s="1">
        <v>40</v>
      </c>
      <c r="U14" s="1">
        <f t="shared" si="7"/>
        <v>32000</v>
      </c>
      <c r="V14" s="26">
        <f t="shared" si="8"/>
        <v>5.8829412353000009E-2</v>
      </c>
      <c r="W14" s="24">
        <v>0.06</v>
      </c>
      <c r="X14" s="1">
        <f t="shared" si="9"/>
        <v>4799.5199999999995</v>
      </c>
      <c r="Y14" s="1">
        <f t="shared" si="10"/>
        <v>32636.735999999997</v>
      </c>
      <c r="Z14" s="24">
        <v>0.05</v>
      </c>
      <c r="AA14" s="1">
        <f t="shared" si="11"/>
        <v>3999.6000000000004</v>
      </c>
      <c r="AB14" s="1">
        <f t="shared" si="12"/>
        <v>27197.280000000002</v>
      </c>
      <c r="AC14" s="1">
        <v>5000</v>
      </c>
      <c r="AD14" s="1">
        <f t="shared" si="13"/>
        <v>34000</v>
      </c>
      <c r="AE14" s="1">
        <f t="shared" si="14"/>
        <v>226511.58399999997</v>
      </c>
      <c r="AF14" s="26">
        <f t="shared" si="15"/>
        <v>0.4164232305583499</v>
      </c>
      <c r="AG14" s="1">
        <v>20</v>
      </c>
      <c r="AH14" s="1">
        <f t="shared" si="16"/>
        <v>136</v>
      </c>
      <c r="AI14" s="1">
        <f t="shared" si="17"/>
        <v>108800</v>
      </c>
      <c r="AJ14" s="1">
        <f t="shared" si="18"/>
        <v>117711.58399999997</v>
      </c>
      <c r="AK14" s="26">
        <f t="shared" si="19"/>
        <v>0.21640322855814989</v>
      </c>
    </row>
    <row r="15" spans="1:40" s="1" customFormat="1" ht="19" customHeight="1">
      <c r="A15" s="28" t="s">
        <v>37</v>
      </c>
      <c r="B15" s="28" t="s">
        <v>38</v>
      </c>
      <c r="C15" s="28">
        <v>8</v>
      </c>
      <c r="D15" s="20" t="s">
        <v>43</v>
      </c>
      <c r="E15" s="21" t="s">
        <v>40</v>
      </c>
      <c r="F15" s="21" t="s">
        <v>41</v>
      </c>
      <c r="G15" s="27">
        <v>400</v>
      </c>
      <c r="H15" s="1">
        <v>99.99</v>
      </c>
      <c r="I15" s="22">
        <f t="shared" si="0"/>
        <v>679.9319999999999</v>
      </c>
      <c r="J15" s="23">
        <v>6.8</v>
      </c>
      <c r="K15" s="22">
        <f t="shared" si="1"/>
        <v>39996</v>
      </c>
      <c r="L15" s="1">
        <f t="shared" si="2"/>
        <v>271972.8</v>
      </c>
      <c r="M15" s="24">
        <v>0.05</v>
      </c>
      <c r="N15" s="1">
        <v>15</v>
      </c>
      <c r="O15" s="1">
        <f t="shared" si="3"/>
        <v>102</v>
      </c>
      <c r="P15" s="1">
        <f t="shared" si="4"/>
        <v>40800</v>
      </c>
      <c r="Q15" s="1">
        <v>178</v>
      </c>
      <c r="R15" s="1">
        <f t="shared" si="5"/>
        <v>71200</v>
      </c>
      <c r="S15" s="25">
        <f t="shared" si="6"/>
        <v>0.26179088497085001</v>
      </c>
      <c r="T15" s="1">
        <v>40</v>
      </c>
      <c r="U15" s="1">
        <f t="shared" si="7"/>
        <v>16000</v>
      </c>
      <c r="V15" s="26">
        <f t="shared" si="8"/>
        <v>5.8829412353000009E-2</v>
      </c>
      <c r="W15" s="24">
        <v>0.06</v>
      </c>
      <c r="X15" s="1">
        <f t="shared" si="9"/>
        <v>2399.7599999999998</v>
      </c>
      <c r="Y15" s="1">
        <f t="shared" si="10"/>
        <v>16318.367999999999</v>
      </c>
      <c r="Z15" s="24">
        <v>0.05</v>
      </c>
      <c r="AA15" s="1">
        <f t="shared" si="11"/>
        <v>1999.8000000000002</v>
      </c>
      <c r="AB15" s="1">
        <f t="shared" si="12"/>
        <v>13598.640000000001</v>
      </c>
      <c r="AC15" s="1">
        <v>5000</v>
      </c>
      <c r="AD15" s="1">
        <f t="shared" si="13"/>
        <v>34000</v>
      </c>
      <c r="AE15" s="1">
        <f t="shared" si="14"/>
        <v>114055.79199999999</v>
      </c>
      <c r="AF15" s="26">
        <f t="shared" si="15"/>
        <v>0.41936470117599994</v>
      </c>
      <c r="AG15" s="1">
        <v>20</v>
      </c>
      <c r="AH15" s="1">
        <f t="shared" si="16"/>
        <v>136</v>
      </c>
      <c r="AI15" s="1">
        <f t="shared" si="17"/>
        <v>54400</v>
      </c>
      <c r="AJ15" s="1">
        <f t="shared" si="18"/>
        <v>59655.791999999987</v>
      </c>
      <c r="AK15" s="26">
        <f t="shared" si="19"/>
        <v>0.21934469917579991</v>
      </c>
    </row>
    <row r="16" spans="1:40" s="1" customFormat="1" ht="19" customHeight="1">
      <c r="A16" s="28" t="s">
        <v>37</v>
      </c>
      <c r="B16" s="28" t="s">
        <v>38</v>
      </c>
      <c r="C16" s="28">
        <v>8</v>
      </c>
      <c r="D16" s="20" t="s">
        <v>44</v>
      </c>
      <c r="E16" s="21" t="s">
        <v>40</v>
      </c>
      <c r="F16" s="21" t="s">
        <v>41</v>
      </c>
      <c r="G16" s="27">
        <v>500</v>
      </c>
      <c r="H16" s="1">
        <v>99.99</v>
      </c>
      <c r="I16" s="22">
        <f t="shared" si="0"/>
        <v>679.9319999999999</v>
      </c>
      <c r="J16" s="23">
        <v>6.8</v>
      </c>
      <c r="K16" s="22">
        <f t="shared" si="1"/>
        <v>49995</v>
      </c>
      <c r="L16" s="1">
        <f t="shared" si="2"/>
        <v>339966</v>
      </c>
      <c r="M16" s="24">
        <v>0.05</v>
      </c>
      <c r="N16" s="1">
        <v>15</v>
      </c>
      <c r="O16" s="1">
        <f t="shared" si="3"/>
        <v>102</v>
      </c>
      <c r="P16" s="1">
        <f t="shared" si="4"/>
        <v>51000</v>
      </c>
      <c r="Q16" s="1">
        <v>178</v>
      </c>
      <c r="R16" s="1">
        <f t="shared" si="5"/>
        <v>89000</v>
      </c>
      <c r="S16" s="25">
        <f t="shared" si="6"/>
        <v>0.26179088497085001</v>
      </c>
      <c r="T16" s="1">
        <v>40</v>
      </c>
      <c r="U16" s="1">
        <f t="shared" si="7"/>
        <v>20000</v>
      </c>
      <c r="V16" s="26">
        <f t="shared" si="8"/>
        <v>5.8829412353000009E-2</v>
      </c>
      <c r="W16" s="24">
        <v>0.06</v>
      </c>
      <c r="X16" s="1">
        <f t="shared" si="9"/>
        <v>2999.7</v>
      </c>
      <c r="Y16" s="1">
        <f t="shared" si="10"/>
        <v>20397.96</v>
      </c>
      <c r="Z16" s="24">
        <v>0.05</v>
      </c>
      <c r="AA16" s="1">
        <f t="shared" si="11"/>
        <v>2499.75</v>
      </c>
      <c r="AB16" s="1">
        <f t="shared" si="12"/>
        <v>16998.3</v>
      </c>
      <c r="AC16" s="1">
        <v>5000</v>
      </c>
      <c r="AD16" s="1">
        <f t="shared" si="13"/>
        <v>34000</v>
      </c>
      <c r="AE16" s="1">
        <f t="shared" si="14"/>
        <v>142569.74000000002</v>
      </c>
      <c r="AF16" s="26">
        <f t="shared" si="15"/>
        <v>0.419364701176</v>
      </c>
      <c r="AG16" s="1">
        <v>20</v>
      </c>
      <c r="AH16" s="1">
        <f t="shared" si="16"/>
        <v>136</v>
      </c>
      <c r="AI16" s="1">
        <f t="shared" si="17"/>
        <v>68000</v>
      </c>
      <c r="AJ16" s="1">
        <f t="shared" si="18"/>
        <v>74569.74000000002</v>
      </c>
      <c r="AK16" s="26">
        <f t="shared" si="19"/>
        <v>0.21934469917579999</v>
      </c>
    </row>
    <row r="17" spans="1:37" ht="19" customHeight="1">
      <c r="A17" s="8" t="s">
        <v>37</v>
      </c>
      <c r="B17" s="8" t="s">
        <v>38</v>
      </c>
      <c r="C17" s="8">
        <v>8</v>
      </c>
      <c r="D17" s="20" t="s">
        <v>45</v>
      </c>
      <c r="E17" s="10" t="s">
        <v>40</v>
      </c>
      <c r="F17" s="10" t="s">
        <v>41</v>
      </c>
      <c r="G17" s="11">
        <v>100</v>
      </c>
      <c r="H17" s="12">
        <v>99.99</v>
      </c>
      <c r="I17" s="13">
        <f t="shared" si="0"/>
        <v>679.9319999999999</v>
      </c>
      <c r="J17" s="14">
        <v>6.8</v>
      </c>
      <c r="K17" s="13">
        <f t="shared" si="1"/>
        <v>9999</v>
      </c>
      <c r="L17" s="15">
        <f t="shared" si="2"/>
        <v>67993.2</v>
      </c>
      <c r="M17" s="16">
        <v>0.05</v>
      </c>
      <c r="N17" s="12">
        <v>15</v>
      </c>
      <c r="O17" s="12">
        <f t="shared" si="3"/>
        <v>102</v>
      </c>
      <c r="P17" s="15">
        <f t="shared" si="4"/>
        <v>10200</v>
      </c>
      <c r="Q17" s="15">
        <v>178</v>
      </c>
      <c r="R17" s="15">
        <f t="shared" si="5"/>
        <v>17800</v>
      </c>
      <c r="S17" s="17">
        <f t="shared" si="6"/>
        <v>0.26179088497085001</v>
      </c>
      <c r="T17" s="12">
        <v>40</v>
      </c>
      <c r="U17" s="15">
        <f t="shared" si="7"/>
        <v>4000</v>
      </c>
      <c r="V17" s="18">
        <f t="shared" si="8"/>
        <v>5.8829412353000009E-2</v>
      </c>
      <c r="W17" s="16">
        <v>0.06</v>
      </c>
      <c r="X17" s="12">
        <f t="shared" si="9"/>
        <v>599.93999999999994</v>
      </c>
      <c r="Y17" s="19">
        <f t="shared" si="10"/>
        <v>4079.5919999999996</v>
      </c>
      <c r="Z17" s="16">
        <v>0.05</v>
      </c>
      <c r="AA17" s="12">
        <f t="shared" si="11"/>
        <v>499.95000000000005</v>
      </c>
      <c r="AB17" s="15">
        <f t="shared" si="12"/>
        <v>3399.6600000000003</v>
      </c>
      <c r="AC17" s="12">
        <v>5000</v>
      </c>
      <c r="AD17" s="15">
        <f t="shared" si="13"/>
        <v>34000</v>
      </c>
      <c r="AE17" s="15">
        <f t="shared" si="14"/>
        <v>28513.947999999997</v>
      </c>
      <c r="AF17" s="18">
        <f t="shared" si="15"/>
        <v>0.41936470117599994</v>
      </c>
      <c r="AG17" s="12">
        <v>20</v>
      </c>
      <c r="AH17" s="12">
        <f t="shared" si="16"/>
        <v>136</v>
      </c>
      <c r="AI17" s="12">
        <f t="shared" si="17"/>
        <v>13600</v>
      </c>
      <c r="AJ17" s="12">
        <f t="shared" si="18"/>
        <v>14913.947999999997</v>
      </c>
      <c r="AK17" s="18">
        <f t="shared" si="19"/>
        <v>0.21934469917579991</v>
      </c>
    </row>
    <row r="18" spans="1:37" s="1" customFormat="1" ht="23" customHeight="1">
      <c r="A18" s="28" t="s">
        <v>37</v>
      </c>
      <c r="B18" s="28" t="s">
        <v>38</v>
      </c>
      <c r="C18" s="28">
        <v>8</v>
      </c>
      <c r="D18" s="9" t="s">
        <v>46</v>
      </c>
      <c r="E18" s="21" t="s">
        <v>40</v>
      </c>
      <c r="F18" s="21" t="s">
        <v>41</v>
      </c>
      <c r="G18" s="21">
        <v>10</v>
      </c>
      <c r="H18" s="1">
        <v>59.99</v>
      </c>
      <c r="I18" s="22">
        <f t="shared" si="0"/>
        <v>407.93200000000002</v>
      </c>
      <c r="J18" s="23">
        <v>6.8</v>
      </c>
      <c r="K18" s="22">
        <f t="shared" si="1"/>
        <v>599.9</v>
      </c>
      <c r="L18" s="1">
        <f t="shared" si="2"/>
        <v>4079.3199999999997</v>
      </c>
      <c r="M18" s="24">
        <v>0.15</v>
      </c>
      <c r="N18" s="1">
        <v>8</v>
      </c>
      <c r="O18" s="1">
        <f t="shared" si="3"/>
        <v>54.4</v>
      </c>
      <c r="P18" s="1">
        <f t="shared" si="4"/>
        <v>544</v>
      </c>
      <c r="Q18" s="1">
        <v>135</v>
      </c>
      <c r="R18" s="1">
        <f t="shared" si="5"/>
        <v>1350</v>
      </c>
      <c r="S18" s="25">
        <f t="shared" si="6"/>
        <v>0.33093750919270859</v>
      </c>
      <c r="T18" s="1">
        <v>19</v>
      </c>
      <c r="U18" s="1">
        <f t="shared" si="7"/>
        <v>190</v>
      </c>
      <c r="V18" s="26">
        <f t="shared" si="8"/>
        <v>4.6576390182677507E-2</v>
      </c>
      <c r="W18" s="24">
        <v>0.06</v>
      </c>
      <c r="X18" s="1">
        <f t="shared" si="9"/>
        <v>35.994</v>
      </c>
      <c r="Y18" s="1">
        <f t="shared" si="10"/>
        <v>244.75919999999999</v>
      </c>
      <c r="Z18" s="24">
        <v>0.05</v>
      </c>
      <c r="AA18" s="1">
        <f t="shared" si="11"/>
        <v>29.995000000000001</v>
      </c>
      <c r="AB18" s="1">
        <f t="shared" si="12"/>
        <v>203.96600000000001</v>
      </c>
      <c r="AC18" s="1">
        <v>0</v>
      </c>
      <c r="AD18" s="1">
        <f t="shared" si="13"/>
        <v>0</v>
      </c>
      <c r="AE18" s="1">
        <f t="shared" si="14"/>
        <v>1546.5947999999999</v>
      </c>
      <c r="AF18" s="26">
        <f t="shared" si="15"/>
        <v>0.37913054136473723</v>
      </c>
      <c r="AH18" s="1">
        <f t="shared" si="16"/>
        <v>0</v>
      </c>
      <c r="AI18" s="1">
        <f t="shared" si="17"/>
        <v>0</v>
      </c>
      <c r="AJ18" s="1">
        <f t="shared" si="18"/>
        <v>1546.5947999999999</v>
      </c>
      <c r="AK18" s="26">
        <f t="shared" si="19"/>
        <v>0.37913054136473723</v>
      </c>
    </row>
    <row r="19" spans="1:37" ht="14" customHeight="1">
      <c r="G19" s="1">
        <f>SUM(G2:G18)</f>
        <v>6330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V61671</cp:lastModifiedBy>
  <dcterms:created xsi:type="dcterms:W3CDTF">2006-09-16T00:00:00Z</dcterms:created>
  <dcterms:modified xsi:type="dcterms:W3CDTF">2026-06-10T01:18:28Z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47B9BB6B6A8548CABFA32901B3A70513_12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