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qisanjiudekeaiduo/Downloads/python3/Harlottecc/inventory management plan/"/>
    </mc:Choice>
  </mc:AlternateContent>
  <xr:revisionPtr revIDLastSave="0" documentId="13_ncr:1_{3A5A5CC6-6015-144F-92A6-A952B5B00A6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欧美2026亚马逊运营计划" sheetId="1" r:id="rId1"/>
  </sheets>
  <definedNames>
    <definedName name="_xlnm._FilterDatabase" localSheetId="0" hidden="1">欧美2026亚马逊运营计划!$A$1:$AX$248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8" i="1" l="1"/>
  <c r="AG248" i="1"/>
  <c r="AC248" i="1"/>
  <c r="AA248" i="1"/>
  <c r="Y248" i="1"/>
  <c r="V248" i="1"/>
  <c r="T248" i="1"/>
  <c r="R248" i="1"/>
  <c r="P248" i="1"/>
  <c r="M248" i="1"/>
  <c r="K248" i="1"/>
  <c r="AH247" i="1"/>
  <c r="AG247" i="1"/>
  <c r="AC247" i="1"/>
  <c r="AA247" i="1"/>
  <c r="Y247" i="1"/>
  <c r="V247" i="1"/>
  <c r="T247" i="1"/>
  <c r="R247" i="1"/>
  <c r="P247" i="1"/>
  <c r="M247" i="1"/>
  <c r="K247" i="1"/>
  <c r="AH246" i="1"/>
  <c r="AG246" i="1"/>
  <c r="AC246" i="1"/>
  <c r="AA246" i="1"/>
  <c r="Y246" i="1"/>
  <c r="V246" i="1"/>
  <c r="T246" i="1"/>
  <c r="R246" i="1"/>
  <c r="P246" i="1"/>
  <c r="M246" i="1"/>
  <c r="K246" i="1"/>
  <c r="AH245" i="1"/>
  <c r="AG245" i="1"/>
  <c r="AC245" i="1"/>
  <c r="AA245" i="1"/>
  <c r="Y245" i="1"/>
  <c r="V245" i="1"/>
  <c r="T245" i="1"/>
  <c r="R245" i="1"/>
  <c r="P245" i="1"/>
  <c r="M245" i="1"/>
  <c r="K245" i="1"/>
  <c r="AH244" i="1"/>
  <c r="AG244" i="1"/>
  <c r="AC244" i="1"/>
  <c r="AA244" i="1"/>
  <c r="Z244" i="1"/>
  <c r="Y244" i="1"/>
  <c r="V244" i="1"/>
  <c r="U244" i="1"/>
  <c r="T244" i="1"/>
  <c r="R244" i="1"/>
  <c r="Q244" i="1"/>
  <c r="P244" i="1"/>
  <c r="M244" i="1"/>
  <c r="K244" i="1"/>
  <c r="AH243" i="1"/>
  <c r="AG243" i="1"/>
  <c r="AC243" i="1"/>
  <c r="AA243" i="1"/>
  <c r="Z243" i="1"/>
  <c r="Y243" i="1"/>
  <c r="V243" i="1"/>
  <c r="U243" i="1"/>
  <c r="T243" i="1"/>
  <c r="R243" i="1"/>
  <c r="Q243" i="1"/>
  <c r="P243" i="1"/>
  <c r="M243" i="1"/>
  <c r="K243" i="1"/>
  <c r="AH242" i="1"/>
  <c r="AG242" i="1"/>
  <c r="AC242" i="1"/>
  <c r="AA242" i="1"/>
  <c r="Z242" i="1"/>
  <c r="Y242" i="1"/>
  <c r="V242" i="1"/>
  <c r="U242" i="1"/>
  <c r="T242" i="1"/>
  <c r="R242" i="1"/>
  <c r="Q242" i="1"/>
  <c r="P242" i="1"/>
  <c r="M242" i="1"/>
  <c r="K242" i="1"/>
  <c r="AH241" i="1"/>
  <c r="AG241" i="1"/>
  <c r="AC241" i="1"/>
  <c r="AA241" i="1"/>
  <c r="Z241" i="1"/>
  <c r="Y241" i="1"/>
  <c r="V241" i="1"/>
  <c r="U241" i="1"/>
  <c r="T241" i="1"/>
  <c r="R241" i="1"/>
  <c r="Q241" i="1"/>
  <c r="P241" i="1"/>
  <c r="M241" i="1"/>
  <c r="K241" i="1"/>
  <c r="AH240" i="1"/>
  <c r="AG240" i="1"/>
  <c r="AF240" i="1"/>
  <c r="AE240" i="1"/>
  <c r="AC240" i="1"/>
  <c r="AA240" i="1"/>
  <c r="Z240" i="1"/>
  <c r="Y240" i="1"/>
  <c r="V240" i="1"/>
  <c r="U240" i="1"/>
  <c r="T240" i="1"/>
  <c r="R240" i="1"/>
  <c r="Q240" i="1"/>
  <c r="P240" i="1"/>
  <c r="M240" i="1"/>
  <c r="K240" i="1"/>
  <c r="AH239" i="1"/>
  <c r="AG239" i="1"/>
  <c r="AF239" i="1"/>
  <c r="AE239" i="1"/>
  <c r="AC239" i="1"/>
  <c r="AA239" i="1"/>
  <c r="Z239" i="1"/>
  <c r="Y239" i="1"/>
  <c r="V239" i="1"/>
  <c r="U239" i="1"/>
  <c r="T239" i="1"/>
  <c r="R239" i="1"/>
  <c r="Q239" i="1"/>
  <c r="P239" i="1"/>
  <c r="M239" i="1"/>
  <c r="K239" i="1"/>
  <c r="AH238" i="1"/>
  <c r="AG238" i="1"/>
  <c r="AF238" i="1"/>
  <c r="AE238" i="1"/>
  <c r="AC238" i="1"/>
  <c r="AA238" i="1"/>
  <c r="Z238" i="1"/>
  <c r="Y238" i="1"/>
  <c r="V238" i="1"/>
  <c r="U238" i="1"/>
  <c r="T238" i="1"/>
  <c r="R238" i="1"/>
  <c r="Q238" i="1"/>
  <c r="P238" i="1"/>
  <c r="M238" i="1"/>
  <c r="K238" i="1"/>
  <c r="AH237" i="1"/>
  <c r="AG237" i="1"/>
  <c r="AF237" i="1"/>
  <c r="AE237" i="1"/>
  <c r="AC237" i="1"/>
  <c r="AA237" i="1"/>
  <c r="Z237" i="1"/>
  <c r="Y237" i="1"/>
  <c r="V237" i="1"/>
  <c r="U237" i="1"/>
  <c r="T237" i="1"/>
  <c r="R237" i="1"/>
  <c r="Q237" i="1"/>
  <c r="P237" i="1"/>
  <c r="M237" i="1"/>
  <c r="K237" i="1"/>
  <c r="AH236" i="1"/>
  <c r="AG236" i="1"/>
  <c r="AC236" i="1"/>
  <c r="AB236" i="1"/>
  <c r="AA236" i="1"/>
  <c r="Y236" i="1"/>
  <c r="V236" i="1"/>
  <c r="U236" i="1"/>
  <c r="T236" i="1"/>
  <c r="R236" i="1"/>
  <c r="P236" i="1"/>
  <c r="M236" i="1"/>
  <c r="AH235" i="1"/>
  <c r="AG235" i="1"/>
  <c r="AC235" i="1"/>
  <c r="AB235" i="1"/>
  <c r="AA235" i="1"/>
  <c r="Y235" i="1"/>
  <c r="V235" i="1"/>
  <c r="U235" i="1"/>
  <c r="T235" i="1"/>
  <c r="R235" i="1"/>
  <c r="P235" i="1"/>
  <c r="M235" i="1"/>
  <c r="AH234" i="1"/>
  <c r="AG234" i="1"/>
  <c r="AC234" i="1"/>
  <c r="AB234" i="1"/>
  <c r="AA234" i="1"/>
  <c r="Z234" i="1"/>
  <c r="Y234" i="1"/>
  <c r="V234" i="1"/>
  <c r="U234" i="1"/>
  <c r="T234" i="1"/>
  <c r="R234" i="1"/>
  <c r="Q234" i="1"/>
  <c r="P234" i="1"/>
  <c r="M234" i="1"/>
  <c r="K234" i="1"/>
  <c r="AH233" i="1"/>
  <c r="AG233" i="1"/>
  <c r="AC233" i="1"/>
  <c r="AB233" i="1"/>
  <c r="AA233" i="1"/>
  <c r="Z233" i="1"/>
  <c r="Y233" i="1"/>
  <c r="V233" i="1"/>
  <c r="U233" i="1"/>
  <c r="T233" i="1"/>
  <c r="R233" i="1"/>
  <c r="Q233" i="1"/>
  <c r="P233" i="1"/>
  <c r="M233" i="1"/>
  <c r="K233" i="1"/>
  <c r="AH232" i="1"/>
  <c r="AG232" i="1"/>
  <c r="AC232" i="1"/>
  <c r="AA232" i="1"/>
  <c r="Z232" i="1"/>
  <c r="Y232" i="1"/>
  <c r="V232" i="1"/>
  <c r="U232" i="1"/>
  <c r="T232" i="1"/>
  <c r="R232" i="1"/>
  <c r="Q232" i="1"/>
  <c r="P232" i="1"/>
  <c r="M232" i="1"/>
  <c r="K232" i="1"/>
  <c r="AH231" i="1"/>
  <c r="AG231" i="1"/>
  <c r="AD231" i="1"/>
  <c r="AC231" i="1"/>
  <c r="AB231" i="1"/>
  <c r="AA231" i="1"/>
  <c r="Z231" i="1"/>
  <c r="Y231" i="1"/>
  <c r="V231" i="1"/>
  <c r="U231" i="1"/>
  <c r="T231" i="1"/>
  <c r="R231" i="1"/>
  <c r="Q231" i="1"/>
  <c r="P231" i="1"/>
  <c r="M231" i="1"/>
  <c r="K231" i="1"/>
  <c r="AH230" i="1"/>
  <c r="AG230" i="1"/>
  <c r="AF230" i="1"/>
  <c r="AD230" i="1"/>
  <c r="AC230" i="1"/>
  <c r="AB230" i="1"/>
  <c r="AA230" i="1"/>
  <c r="Z230" i="1"/>
  <c r="Y230" i="1"/>
  <c r="V230" i="1"/>
  <c r="U230" i="1"/>
  <c r="T230" i="1"/>
  <c r="R230" i="1"/>
  <c r="Q230" i="1"/>
  <c r="P230" i="1"/>
  <c r="M230" i="1"/>
  <c r="K230" i="1"/>
  <c r="AH229" i="1"/>
  <c r="AG229" i="1"/>
  <c r="AD229" i="1"/>
  <c r="AC229" i="1"/>
  <c r="AB229" i="1"/>
  <c r="AA229" i="1"/>
  <c r="Z229" i="1"/>
  <c r="Y229" i="1"/>
  <c r="V229" i="1"/>
  <c r="U229" i="1"/>
  <c r="T229" i="1"/>
  <c r="R229" i="1"/>
  <c r="Q229" i="1"/>
  <c r="P229" i="1"/>
  <c r="M229" i="1"/>
  <c r="K229" i="1"/>
  <c r="AH228" i="1"/>
  <c r="AG228" i="1"/>
  <c r="AF228" i="1"/>
  <c r="AD228" i="1"/>
  <c r="AC228" i="1"/>
  <c r="AA228" i="1"/>
  <c r="Z228" i="1"/>
  <c r="Y228" i="1"/>
  <c r="V228" i="1"/>
  <c r="U228" i="1"/>
  <c r="T228" i="1"/>
  <c r="R228" i="1"/>
  <c r="Q228" i="1"/>
  <c r="P228" i="1"/>
  <c r="M228" i="1"/>
  <c r="K228" i="1"/>
  <c r="AH227" i="1"/>
  <c r="AG227" i="1"/>
  <c r="AF227" i="1"/>
  <c r="AD227" i="1"/>
  <c r="AC227" i="1"/>
  <c r="AB227" i="1"/>
  <c r="AA227" i="1"/>
  <c r="Z227" i="1"/>
  <c r="Y227" i="1"/>
  <c r="V227" i="1"/>
  <c r="U227" i="1"/>
  <c r="T227" i="1"/>
  <c r="R227" i="1"/>
  <c r="Q227" i="1"/>
  <c r="P227" i="1"/>
  <c r="M227" i="1"/>
  <c r="K227" i="1"/>
  <c r="AH226" i="1"/>
  <c r="AG226" i="1"/>
  <c r="AF226" i="1"/>
  <c r="AD226" i="1"/>
  <c r="AC226" i="1"/>
  <c r="AB226" i="1"/>
  <c r="AA226" i="1"/>
  <c r="Z226" i="1"/>
  <c r="Y226" i="1"/>
  <c r="V226" i="1"/>
  <c r="U226" i="1"/>
  <c r="T226" i="1"/>
  <c r="R226" i="1"/>
  <c r="Q226" i="1"/>
  <c r="P226" i="1"/>
  <c r="M226" i="1"/>
  <c r="K226" i="1"/>
  <c r="AH225" i="1"/>
  <c r="AG225" i="1"/>
  <c r="AD225" i="1"/>
  <c r="AC225" i="1"/>
  <c r="AA225" i="1"/>
  <c r="Z225" i="1"/>
  <c r="Y225" i="1"/>
  <c r="V225" i="1"/>
  <c r="U225" i="1"/>
  <c r="T225" i="1"/>
  <c r="R225" i="1"/>
  <c r="Q225" i="1"/>
  <c r="P225" i="1"/>
  <c r="M225" i="1"/>
  <c r="K225" i="1"/>
  <c r="AH224" i="1"/>
  <c r="AG224" i="1"/>
  <c r="AD224" i="1"/>
  <c r="AC224" i="1"/>
  <c r="AA224" i="1"/>
  <c r="Y224" i="1"/>
  <c r="V224" i="1"/>
  <c r="U224" i="1"/>
  <c r="T224" i="1"/>
  <c r="R224" i="1"/>
  <c r="Q224" i="1"/>
  <c r="P224" i="1"/>
  <c r="M224" i="1"/>
  <c r="K224" i="1"/>
  <c r="AH223" i="1"/>
  <c r="AG223" i="1"/>
  <c r="AF223" i="1"/>
  <c r="AD223" i="1"/>
  <c r="AC223" i="1"/>
  <c r="AA223" i="1"/>
  <c r="Z223" i="1"/>
  <c r="Y223" i="1"/>
  <c r="V223" i="1"/>
  <c r="U223" i="1"/>
  <c r="T223" i="1"/>
  <c r="R223" i="1"/>
  <c r="Q223" i="1"/>
  <c r="P223" i="1"/>
  <c r="M223" i="1"/>
  <c r="K223" i="1"/>
  <c r="AH222" i="1"/>
  <c r="AG222" i="1"/>
  <c r="AF222" i="1"/>
  <c r="AD222" i="1"/>
  <c r="AC222" i="1"/>
  <c r="AA222" i="1"/>
  <c r="Z222" i="1"/>
  <c r="Y222" i="1"/>
  <c r="V222" i="1"/>
  <c r="U222" i="1"/>
  <c r="T222" i="1"/>
  <c r="R222" i="1"/>
  <c r="Q222" i="1"/>
  <c r="P222" i="1"/>
  <c r="M222" i="1"/>
  <c r="K222" i="1"/>
  <c r="AH221" i="1"/>
  <c r="AG221" i="1"/>
  <c r="AF221" i="1"/>
  <c r="AD221" i="1"/>
  <c r="AC221" i="1"/>
  <c r="AB221" i="1"/>
  <c r="AA221" i="1"/>
  <c r="Z221" i="1"/>
  <c r="Y221" i="1"/>
  <c r="V221" i="1"/>
  <c r="U221" i="1"/>
  <c r="T221" i="1"/>
  <c r="R221" i="1"/>
  <c r="Q221" i="1"/>
  <c r="P221" i="1"/>
  <c r="M221" i="1"/>
  <c r="K221" i="1"/>
  <c r="AH220" i="1"/>
  <c r="AG220" i="1"/>
  <c r="AF220" i="1"/>
  <c r="AC220" i="1"/>
  <c r="AB220" i="1"/>
  <c r="AA220" i="1"/>
  <c r="Z220" i="1"/>
  <c r="Y220" i="1"/>
  <c r="V220" i="1"/>
  <c r="U220" i="1"/>
  <c r="T220" i="1"/>
  <c r="R220" i="1"/>
  <c r="Q220" i="1"/>
  <c r="P220" i="1"/>
  <c r="M220" i="1"/>
  <c r="K220" i="1"/>
  <c r="AH219" i="1"/>
  <c r="AG219" i="1"/>
  <c r="AF219" i="1"/>
  <c r="AD219" i="1"/>
  <c r="AC219" i="1"/>
  <c r="AB219" i="1"/>
  <c r="AA219" i="1"/>
  <c r="Z219" i="1"/>
  <c r="Y219" i="1"/>
  <c r="V219" i="1"/>
  <c r="U219" i="1"/>
  <c r="T219" i="1"/>
  <c r="R219" i="1"/>
  <c r="Q219" i="1"/>
  <c r="P219" i="1"/>
  <c r="M219" i="1"/>
  <c r="K219" i="1"/>
  <c r="AH218" i="1"/>
  <c r="AG218" i="1"/>
  <c r="AF218" i="1"/>
  <c r="AD218" i="1"/>
  <c r="AC218" i="1"/>
  <c r="AB218" i="1"/>
  <c r="AA218" i="1"/>
  <c r="Z218" i="1"/>
  <c r="Y218" i="1"/>
  <c r="V218" i="1"/>
  <c r="U218" i="1"/>
  <c r="T218" i="1"/>
  <c r="R218" i="1"/>
  <c r="Q218" i="1"/>
  <c r="P218" i="1"/>
  <c r="M218" i="1"/>
  <c r="K218" i="1"/>
  <c r="AH217" i="1"/>
  <c r="AG217" i="1"/>
  <c r="AC217" i="1"/>
  <c r="AB217" i="1"/>
  <c r="AA217" i="1"/>
  <c r="Z217" i="1"/>
  <c r="Y217" i="1"/>
  <c r="V217" i="1"/>
  <c r="U217" i="1"/>
  <c r="T217" i="1"/>
  <c r="R217" i="1"/>
  <c r="Q217" i="1"/>
  <c r="P217" i="1"/>
  <c r="M217" i="1"/>
  <c r="K217" i="1"/>
  <c r="AH216" i="1"/>
  <c r="AG216" i="1"/>
  <c r="AC216" i="1"/>
  <c r="AB216" i="1"/>
  <c r="AA216" i="1"/>
  <c r="Z216" i="1"/>
  <c r="Y216" i="1"/>
  <c r="V216" i="1"/>
  <c r="U216" i="1"/>
  <c r="T216" i="1"/>
  <c r="R216" i="1"/>
  <c r="Q216" i="1"/>
  <c r="P216" i="1"/>
  <c r="M216" i="1"/>
  <c r="K216" i="1"/>
  <c r="AH215" i="1"/>
  <c r="AG215" i="1"/>
  <c r="AC215" i="1"/>
  <c r="AA215" i="1"/>
  <c r="Z215" i="1"/>
  <c r="Y215" i="1"/>
  <c r="V215" i="1"/>
  <c r="U215" i="1"/>
  <c r="T215" i="1"/>
  <c r="R215" i="1"/>
  <c r="Q215" i="1"/>
  <c r="P215" i="1"/>
  <c r="M215" i="1"/>
  <c r="K215" i="1"/>
  <c r="AH214" i="1"/>
  <c r="AG214" i="1"/>
  <c r="AC214" i="1"/>
  <c r="AA214" i="1"/>
  <c r="Z214" i="1"/>
  <c r="Y214" i="1"/>
  <c r="V214" i="1"/>
  <c r="U214" i="1"/>
  <c r="T214" i="1"/>
  <c r="R214" i="1"/>
  <c r="Q214" i="1"/>
  <c r="P214" i="1"/>
  <c r="M214" i="1"/>
  <c r="K214" i="1"/>
  <c r="AH213" i="1"/>
  <c r="AG213" i="1"/>
  <c r="AC213" i="1"/>
  <c r="AA213" i="1"/>
  <c r="Z213" i="1"/>
  <c r="Y213" i="1"/>
  <c r="V213" i="1"/>
  <c r="U213" i="1"/>
  <c r="T213" i="1"/>
  <c r="R213" i="1"/>
  <c r="Q213" i="1"/>
  <c r="P213" i="1"/>
  <c r="M213" i="1"/>
  <c r="K213" i="1"/>
  <c r="AH212" i="1"/>
  <c r="AG212" i="1"/>
  <c r="AC212" i="1"/>
  <c r="AA212" i="1"/>
  <c r="Z212" i="1"/>
  <c r="Y212" i="1"/>
  <c r="V212" i="1"/>
  <c r="U212" i="1"/>
  <c r="T212" i="1"/>
  <c r="R212" i="1"/>
  <c r="Q212" i="1"/>
  <c r="P212" i="1"/>
  <c r="M212" i="1"/>
  <c r="K212" i="1"/>
  <c r="AH211" i="1"/>
  <c r="AG211" i="1"/>
  <c r="AC211" i="1"/>
  <c r="AA211" i="1"/>
  <c r="Y211" i="1"/>
  <c r="V211" i="1"/>
  <c r="T211" i="1"/>
  <c r="R211" i="1"/>
  <c r="P211" i="1"/>
  <c r="M211" i="1"/>
  <c r="K211" i="1"/>
  <c r="AH210" i="1"/>
  <c r="AG210" i="1"/>
  <c r="AC210" i="1"/>
  <c r="AA210" i="1"/>
  <c r="Y210" i="1"/>
  <c r="V210" i="1"/>
  <c r="T210" i="1"/>
  <c r="R210" i="1"/>
  <c r="P210" i="1"/>
  <c r="M210" i="1"/>
  <c r="K210" i="1"/>
  <c r="AH209" i="1"/>
  <c r="AG209" i="1"/>
  <c r="AC209" i="1"/>
  <c r="AA209" i="1"/>
  <c r="Y209" i="1"/>
  <c r="V209" i="1"/>
  <c r="T209" i="1"/>
  <c r="R209" i="1"/>
  <c r="P209" i="1"/>
  <c r="M209" i="1"/>
  <c r="K209" i="1"/>
  <c r="AH208" i="1"/>
  <c r="AG208" i="1"/>
  <c r="AC208" i="1"/>
  <c r="AA208" i="1"/>
  <c r="Y208" i="1"/>
  <c r="V208" i="1"/>
  <c r="T208" i="1"/>
  <c r="R208" i="1"/>
  <c r="P208" i="1"/>
  <c r="M208" i="1"/>
  <c r="K208" i="1"/>
  <c r="AH207" i="1"/>
  <c r="AG207" i="1"/>
  <c r="AF207" i="1"/>
  <c r="AE207" i="1"/>
  <c r="AC207" i="1"/>
  <c r="AA207" i="1"/>
  <c r="Z207" i="1"/>
  <c r="Y207" i="1"/>
  <c r="V207" i="1"/>
  <c r="U207" i="1"/>
  <c r="T207" i="1"/>
  <c r="R207" i="1"/>
  <c r="Q207" i="1"/>
  <c r="P207" i="1"/>
  <c r="M207" i="1"/>
  <c r="K207" i="1"/>
  <c r="AH206" i="1"/>
  <c r="AG206" i="1"/>
  <c r="AF206" i="1"/>
  <c r="AE206" i="1"/>
  <c r="AC206" i="1"/>
  <c r="AA206" i="1"/>
  <c r="Z206" i="1"/>
  <c r="Y206" i="1"/>
  <c r="V206" i="1"/>
  <c r="U206" i="1"/>
  <c r="T206" i="1"/>
  <c r="R206" i="1"/>
  <c r="Q206" i="1"/>
  <c r="P206" i="1"/>
  <c r="M206" i="1"/>
  <c r="K206" i="1"/>
  <c r="AH205" i="1"/>
  <c r="AG205" i="1"/>
  <c r="AF205" i="1"/>
  <c r="AE205" i="1"/>
  <c r="AC205" i="1"/>
  <c r="AA205" i="1"/>
  <c r="Z205" i="1"/>
  <c r="Y205" i="1"/>
  <c r="V205" i="1"/>
  <c r="U205" i="1"/>
  <c r="T205" i="1"/>
  <c r="R205" i="1"/>
  <c r="Q205" i="1"/>
  <c r="P205" i="1"/>
  <c r="M205" i="1"/>
  <c r="K205" i="1"/>
  <c r="AH204" i="1"/>
  <c r="AG204" i="1"/>
  <c r="AF204" i="1"/>
  <c r="AE204" i="1"/>
  <c r="AC204" i="1"/>
  <c r="AA204" i="1"/>
  <c r="Z204" i="1"/>
  <c r="Y204" i="1"/>
  <c r="V204" i="1"/>
  <c r="U204" i="1"/>
  <c r="T204" i="1"/>
  <c r="R204" i="1"/>
  <c r="Q204" i="1"/>
  <c r="P204" i="1"/>
  <c r="M204" i="1"/>
  <c r="K204" i="1"/>
  <c r="AH203" i="1"/>
  <c r="AG203" i="1"/>
  <c r="AC203" i="1"/>
  <c r="AB203" i="1"/>
  <c r="AA203" i="1"/>
  <c r="Y203" i="1"/>
  <c r="V203" i="1"/>
  <c r="U203" i="1"/>
  <c r="T203" i="1"/>
  <c r="R203" i="1"/>
  <c r="P203" i="1"/>
  <c r="M203" i="1"/>
  <c r="AH202" i="1"/>
  <c r="AG202" i="1"/>
  <c r="AC202" i="1"/>
  <c r="AB202" i="1"/>
  <c r="AA202" i="1"/>
  <c r="Y202" i="1"/>
  <c r="V202" i="1"/>
  <c r="U202" i="1"/>
  <c r="T202" i="1"/>
  <c r="R202" i="1"/>
  <c r="P202" i="1"/>
  <c r="M202" i="1"/>
  <c r="AH201" i="1"/>
  <c r="AG201" i="1"/>
  <c r="AC201" i="1"/>
  <c r="AB201" i="1"/>
  <c r="AA201" i="1"/>
  <c r="Z201" i="1"/>
  <c r="Y201" i="1"/>
  <c r="V201" i="1"/>
  <c r="U201" i="1"/>
  <c r="T201" i="1"/>
  <c r="R201" i="1"/>
  <c r="Q201" i="1"/>
  <c r="P201" i="1"/>
  <c r="M201" i="1"/>
  <c r="K201" i="1"/>
  <c r="AH200" i="1"/>
  <c r="AG200" i="1"/>
  <c r="AC200" i="1"/>
  <c r="AB200" i="1"/>
  <c r="AA200" i="1"/>
  <c r="Z200" i="1"/>
  <c r="Y200" i="1"/>
  <c r="V200" i="1"/>
  <c r="U200" i="1"/>
  <c r="T200" i="1"/>
  <c r="R200" i="1"/>
  <c r="Q200" i="1"/>
  <c r="P200" i="1"/>
  <c r="M200" i="1"/>
  <c r="K200" i="1"/>
  <c r="AH199" i="1"/>
  <c r="AG199" i="1"/>
  <c r="AC199" i="1"/>
  <c r="AA199" i="1"/>
  <c r="Z199" i="1"/>
  <c r="Y199" i="1"/>
  <c r="V199" i="1"/>
  <c r="U199" i="1"/>
  <c r="T199" i="1"/>
  <c r="R199" i="1"/>
  <c r="Q199" i="1"/>
  <c r="P199" i="1"/>
  <c r="M199" i="1"/>
  <c r="K199" i="1"/>
  <c r="AH198" i="1"/>
  <c r="AG198" i="1"/>
  <c r="AD198" i="1"/>
  <c r="AC198" i="1"/>
  <c r="AB198" i="1"/>
  <c r="AA198" i="1"/>
  <c r="Z198" i="1"/>
  <c r="Y198" i="1"/>
  <c r="V198" i="1"/>
  <c r="U198" i="1"/>
  <c r="T198" i="1"/>
  <c r="R198" i="1"/>
  <c r="Q198" i="1"/>
  <c r="P198" i="1"/>
  <c r="M198" i="1"/>
  <c r="K198" i="1"/>
  <c r="AH197" i="1"/>
  <c r="AG197" i="1"/>
  <c r="AF197" i="1"/>
  <c r="AD197" i="1"/>
  <c r="AC197" i="1"/>
  <c r="AB197" i="1"/>
  <c r="AA197" i="1"/>
  <c r="Z197" i="1"/>
  <c r="Y197" i="1"/>
  <c r="V197" i="1"/>
  <c r="U197" i="1"/>
  <c r="T197" i="1"/>
  <c r="R197" i="1"/>
  <c r="Q197" i="1"/>
  <c r="P197" i="1"/>
  <c r="M197" i="1"/>
  <c r="K197" i="1"/>
  <c r="AH196" i="1"/>
  <c r="AG196" i="1"/>
  <c r="AD196" i="1"/>
  <c r="AC196" i="1"/>
  <c r="AB196" i="1"/>
  <c r="AA196" i="1"/>
  <c r="Z196" i="1"/>
  <c r="Y196" i="1"/>
  <c r="V196" i="1"/>
  <c r="U196" i="1"/>
  <c r="T196" i="1"/>
  <c r="R196" i="1"/>
  <c r="Q196" i="1"/>
  <c r="P196" i="1"/>
  <c r="M196" i="1"/>
  <c r="K196" i="1"/>
  <c r="AH195" i="1"/>
  <c r="AG195" i="1"/>
  <c r="AF195" i="1"/>
  <c r="AD195" i="1"/>
  <c r="AC195" i="1"/>
  <c r="AA195" i="1"/>
  <c r="Z195" i="1"/>
  <c r="Y195" i="1"/>
  <c r="V195" i="1"/>
  <c r="U195" i="1"/>
  <c r="T195" i="1"/>
  <c r="R195" i="1"/>
  <c r="Q195" i="1"/>
  <c r="P195" i="1"/>
  <c r="M195" i="1"/>
  <c r="K195" i="1"/>
  <c r="AH194" i="1"/>
  <c r="AG194" i="1"/>
  <c r="AF194" i="1"/>
  <c r="AD194" i="1"/>
  <c r="AC194" i="1"/>
  <c r="AB194" i="1"/>
  <c r="AA194" i="1"/>
  <c r="Z194" i="1"/>
  <c r="Y194" i="1"/>
  <c r="V194" i="1"/>
  <c r="U194" i="1"/>
  <c r="T194" i="1"/>
  <c r="R194" i="1"/>
  <c r="Q194" i="1"/>
  <c r="P194" i="1"/>
  <c r="M194" i="1"/>
  <c r="K194" i="1"/>
  <c r="AH193" i="1"/>
  <c r="AG193" i="1"/>
  <c r="AF193" i="1"/>
  <c r="AD193" i="1"/>
  <c r="AC193" i="1"/>
  <c r="AB193" i="1"/>
  <c r="AA193" i="1"/>
  <c r="Z193" i="1"/>
  <c r="Y193" i="1"/>
  <c r="V193" i="1"/>
  <c r="U193" i="1"/>
  <c r="T193" i="1"/>
  <c r="R193" i="1"/>
  <c r="Q193" i="1"/>
  <c r="P193" i="1"/>
  <c r="M193" i="1"/>
  <c r="K193" i="1"/>
  <c r="AH192" i="1"/>
  <c r="AG192" i="1"/>
  <c r="AD192" i="1"/>
  <c r="AC192" i="1"/>
  <c r="AA192" i="1"/>
  <c r="Z192" i="1"/>
  <c r="Y192" i="1"/>
  <c r="V192" i="1"/>
  <c r="U192" i="1"/>
  <c r="T192" i="1"/>
  <c r="R192" i="1"/>
  <c r="Q192" i="1"/>
  <c r="P192" i="1"/>
  <c r="M192" i="1"/>
  <c r="K192" i="1"/>
  <c r="AH191" i="1"/>
  <c r="AG191" i="1"/>
  <c r="AD191" i="1"/>
  <c r="AC191" i="1"/>
  <c r="AA191" i="1"/>
  <c r="Y191" i="1"/>
  <c r="V191" i="1"/>
  <c r="U191" i="1"/>
  <c r="T191" i="1"/>
  <c r="R191" i="1"/>
  <c r="Q191" i="1"/>
  <c r="P191" i="1"/>
  <c r="M191" i="1"/>
  <c r="K191" i="1"/>
  <c r="AH190" i="1"/>
  <c r="AG190" i="1"/>
  <c r="AF190" i="1"/>
  <c r="AD190" i="1"/>
  <c r="AC190" i="1"/>
  <c r="AA190" i="1"/>
  <c r="Z190" i="1"/>
  <c r="Y190" i="1"/>
  <c r="V190" i="1"/>
  <c r="U190" i="1"/>
  <c r="T190" i="1"/>
  <c r="R190" i="1"/>
  <c r="Q190" i="1"/>
  <c r="P190" i="1"/>
  <c r="M190" i="1"/>
  <c r="K190" i="1"/>
  <c r="AH189" i="1"/>
  <c r="AG189" i="1"/>
  <c r="AF189" i="1"/>
  <c r="AD189" i="1"/>
  <c r="AC189" i="1"/>
  <c r="AA189" i="1"/>
  <c r="Z189" i="1"/>
  <c r="Y189" i="1"/>
  <c r="V189" i="1"/>
  <c r="U189" i="1"/>
  <c r="T189" i="1"/>
  <c r="R189" i="1"/>
  <c r="Q189" i="1"/>
  <c r="P189" i="1"/>
  <c r="M189" i="1"/>
  <c r="K189" i="1"/>
  <c r="AH188" i="1"/>
  <c r="AG188" i="1"/>
  <c r="AF188" i="1"/>
  <c r="AD188" i="1"/>
  <c r="AC188" i="1"/>
  <c r="AB188" i="1"/>
  <c r="AA188" i="1"/>
  <c r="Z188" i="1"/>
  <c r="Y188" i="1"/>
  <c r="V188" i="1"/>
  <c r="U188" i="1"/>
  <c r="T188" i="1"/>
  <c r="R188" i="1"/>
  <c r="Q188" i="1"/>
  <c r="P188" i="1"/>
  <c r="M188" i="1"/>
  <c r="K188" i="1"/>
  <c r="AH187" i="1"/>
  <c r="AG187" i="1"/>
  <c r="AF187" i="1"/>
  <c r="AC187" i="1"/>
  <c r="AB187" i="1"/>
  <c r="AA187" i="1"/>
  <c r="Z187" i="1"/>
  <c r="Y187" i="1"/>
  <c r="V187" i="1"/>
  <c r="U187" i="1"/>
  <c r="T187" i="1"/>
  <c r="R187" i="1"/>
  <c r="Q187" i="1"/>
  <c r="P187" i="1"/>
  <c r="M187" i="1"/>
  <c r="K187" i="1"/>
  <c r="AH186" i="1"/>
  <c r="AG186" i="1"/>
  <c r="AF186" i="1"/>
  <c r="AD186" i="1"/>
  <c r="AC186" i="1"/>
  <c r="AB186" i="1"/>
  <c r="AA186" i="1"/>
  <c r="Z186" i="1"/>
  <c r="Y186" i="1"/>
  <c r="V186" i="1"/>
  <c r="U186" i="1"/>
  <c r="T186" i="1"/>
  <c r="R186" i="1"/>
  <c r="Q186" i="1"/>
  <c r="P186" i="1"/>
  <c r="M186" i="1"/>
  <c r="K186" i="1"/>
  <c r="AH185" i="1"/>
  <c r="AG185" i="1"/>
  <c r="AF185" i="1"/>
  <c r="AD185" i="1"/>
  <c r="AC185" i="1"/>
  <c r="AB185" i="1"/>
  <c r="AA185" i="1"/>
  <c r="Z185" i="1"/>
  <c r="Y185" i="1"/>
  <c r="V185" i="1"/>
  <c r="U185" i="1"/>
  <c r="T185" i="1"/>
  <c r="R185" i="1"/>
  <c r="Q185" i="1"/>
  <c r="P185" i="1"/>
  <c r="M185" i="1"/>
  <c r="K185" i="1"/>
  <c r="AH184" i="1"/>
  <c r="AG184" i="1"/>
  <c r="AC184" i="1"/>
  <c r="AB184" i="1"/>
  <c r="AA184" i="1"/>
  <c r="Z184" i="1"/>
  <c r="Y184" i="1"/>
  <c r="V184" i="1"/>
  <c r="U184" i="1"/>
  <c r="T184" i="1"/>
  <c r="R184" i="1"/>
  <c r="Q184" i="1"/>
  <c r="P184" i="1"/>
  <c r="M184" i="1"/>
  <c r="K184" i="1"/>
  <c r="AH183" i="1"/>
  <c r="AG183" i="1"/>
  <c r="AC183" i="1"/>
  <c r="AB183" i="1"/>
  <c r="AA183" i="1"/>
  <c r="Z183" i="1"/>
  <c r="Y183" i="1"/>
  <c r="V183" i="1"/>
  <c r="U183" i="1"/>
  <c r="T183" i="1"/>
  <c r="R183" i="1"/>
  <c r="Q183" i="1"/>
  <c r="P183" i="1"/>
  <c r="M183" i="1"/>
  <c r="K183" i="1"/>
  <c r="AH182" i="1"/>
  <c r="AG182" i="1"/>
  <c r="AC182" i="1"/>
  <c r="AA182" i="1"/>
  <c r="Z182" i="1"/>
  <c r="Y182" i="1"/>
  <c r="V182" i="1"/>
  <c r="U182" i="1"/>
  <c r="T182" i="1"/>
  <c r="R182" i="1"/>
  <c r="Q182" i="1"/>
  <c r="P182" i="1"/>
  <c r="M182" i="1"/>
  <c r="K182" i="1"/>
  <c r="AH181" i="1"/>
  <c r="AG181" i="1"/>
  <c r="AC181" i="1"/>
  <c r="AA181" i="1"/>
  <c r="Z181" i="1"/>
  <c r="Y181" i="1"/>
  <c r="V181" i="1"/>
  <c r="U181" i="1"/>
  <c r="T181" i="1"/>
  <c r="R181" i="1"/>
  <c r="Q181" i="1"/>
  <c r="P181" i="1"/>
  <c r="M181" i="1"/>
  <c r="K181" i="1"/>
  <c r="AH180" i="1"/>
  <c r="AG180" i="1"/>
  <c r="AC180" i="1"/>
  <c r="AA180" i="1"/>
  <c r="Z180" i="1"/>
  <c r="Y180" i="1"/>
  <c r="V180" i="1"/>
  <c r="U180" i="1"/>
  <c r="T180" i="1"/>
  <c r="R180" i="1"/>
  <c r="Q180" i="1"/>
  <c r="P180" i="1"/>
  <c r="M180" i="1"/>
  <c r="K180" i="1"/>
  <c r="AH179" i="1"/>
  <c r="AG179" i="1"/>
  <c r="AC179" i="1"/>
  <c r="AA179" i="1"/>
  <c r="Z179" i="1"/>
  <c r="Y179" i="1"/>
  <c r="V179" i="1"/>
  <c r="U179" i="1"/>
  <c r="T179" i="1"/>
  <c r="R179" i="1"/>
  <c r="Q179" i="1"/>
  <c r="P179" i="1"/>
  <c r="M179" i="1"/>
  <c r="K179" i="1"/>
  <c r="AH178" i="1"/>
  <c r="AG178" i="1"/>
  <c r="AC178" i="1"/>
  <c r="AA178" i="1"/>
  <c r="Y178" i="1"/>
  <c r="V178" i="1"/>
  <c r="T178" i="1"/>
  <c r="R178" i="1"/>
  <c r="P178" i="1"/>
  <c r="M178" i="1"/>
  <c r="K178" i="1"/>
  <c r="AH177" i="1"/>
  <c r="AG177" i="1"/>
  <c r="AC177" i="1"/>
  <c r="AA177" i="1"/>
  <c r="Y177" i="1"/>
  <c r="V177" i="1"/>
  <c r="T177" i="1"/>
  <c r="R177" i="1"/>
  <c r="P177" i="1"/>
  <c r="M177" i="1"/>
  <c r="K177" i="1"/>
  <c r="AH176" i="1"/>
  <c r="AG176" i="1"/>
  <c r="AC176" i="1"/>
  <c r="AA176" i="1"/>
  <c r="Y176" i="1"/>
  <c r="V176" i="1"/>
  <c r="T176" i="1"/>
  <c r="R176" i="1"/>
  <c r="P176" i="1"/>
  <c r="M176" i="1"/>
  <c r="K176" i="1"/>
  <c r="AH175" i="1"/>
  <c r="AG175" i="1"/>
  <c r="AC175" i="1"/>
  <c r="AA175" i="1"/>
  <c r="Y175" i="1"/>
  <c r="V175" i="1"/>
  <c r="T175" i="1"/>
  <c r="R175" i="1"/>
  <c r="P175" i="1"/>
  <c r="M175" i="1"/>
  <c r="K175" i="1"/>
  <c r="AH174" i="1"/>
  <c r="AG174" i="1"/>
  <c r="AF174" i="1"/>
  <c r="AE174" i="1"/>
  <c r="AC174" i="1"/>
  <c r="AA174" i="1"/>
  <c r="Z174" i="1"/>
  <c r="Y174" i="1"/>
  <c r="V174" i="1"/>
  <c r="U174" i="1"/>
  <c r="T174" i="1"/>
  <c r="R174" i="1"/>
  <c r="Q174" i="1"/>
  <c r="P174" i="1"/>
  <c r="M174" i="1"/>
  <c r="K174" i="1"/>
  <c r="AH173" i="1"/>
  <c r="AG173" i="1"/>
  <c r="AF173" i="1"/>
  <c r="AE173" i="1"/>
  <c r="AC173" i="1"/>
  <c r="AA173" i="1"/>
  <c r="Z173" i="1"/>
  <c r="Y173" i="1"/>
  <c r="V173" i="1"/>
  <c r="U173" i="1"/>
  <c r="T173" i="1"/>
  <c r="R173" i="1"/>
  <c r="Q173" i="1"/>
  <c r="P173" i="1"/>
  <c r="M173" i="1"/>
  <c r="K173" i="1"/>
  <c r="AH172" i="1"/>
  <c r="AG172" i="1"/>
  <c r="AF172" i="1"/>
  <c r="AE172" i="1"/>
  <c r="AC172" i="1"/>
  <c r="AA172" i="1"/>
  <c r="Z172" i="1"/>
  <c r="Y172" i="1"/>
  <c r="V172" i="1"/>
  <c r="U172" i="1"/>
  <c r="T172" i="1"/>
  <c r="R172" i="1"/>
  <c r="Q172" i="1"/>
  <c r="P172" i="1"/>
  <c r="M172" i="1"/>
  <c r="K172" i="1"/>
  <c r="AH171" i="1"/>
  <c r="AG171" i="1"/>
  <c r="AF171" i="1"/>
  <c r="AE171" i="1"/>
  <c r="AC171" i="1"/>
  <c r="AA171" i="1"/>
  <c r="Z171" i="1"/>
  <c r="Y171" i="1"/>
  <c r="V171" i="1"/>
  <c r="U171" i="1"/>
  <c r="T171" i="1"/>
  <c r="R171" i="1"/>
  <c r="Q171" i="1"/>
  <c r="P171" i="1"/>
  <c r="M171" i="1"/>
  <c r="K171" i="1"/>
  <c r="AH170" i="1"/>
  <c r="AG170" i="1"/>
  <c r="AC170" i="1"/>
  <c r="AB170" i="1"/>
  <c r="AA170" i="1"/>
  <c r="Y170" i="1"/>
  <c r="V170" i="1"/>
  <c r="U170" i="1"/>
  <c r="T170" i="1"/>
  <c r="R170" i="1"/>
  <c r="P170" i="1"/>
  <c r="M170" i="1"/>
  <c r="AH169" i="1"/>
  <c r="AG169" i="1"/>
  <c r="AC169" i="1"/>
  <c r="AB169" i="1"/>
  <c r="AA169" i="1"/>
  <c r="Y169" i="1"/>
  <c r="V169" i="1"/>
  <c r="U169" i="1"/>
  <c r="T169" i="1"/>
  <c r="R169" i="1"/>
  <c r="P169" i="1"/>
  <c r="M169" i="1"/>
  <c r="AH168" i="1"/>
  <c r="AG168" i="1"/>
  <c r="AC168" i="1"/>
  <c r="AB168" i="1"/>
  <c r="AA168" i="1"/>
  <c r="Z168" i="1"/>
  <c r="Y168" i="1"/>
  <c r="V168" i="1"/>
  <c r="U168" i="1"/>
  <c r="T168" i="1"/>
  <c r="R168" i="1"/>
  <c r="Q168" i="1"/>
  <c r="P168" i="1"/>
  <c r="M168" i="1"/>
  <c r="K168" i="1"/>
  <c r="AH167" i="1"/>
  <c r="AG167" i="1"/>
  <c r="AC167" i="1"/>
  <c r="AB167" i="1"/>
  <c r="AA167" i="1"/>
  <c r="Z167" i="1"/>
  <c r="Y167" i="1"/>
  <c r="V167" i="1"/>
  <c r="U167" i="1"/>
  <c r="T167" i="1"/>
  <c r="R167" i="1"/>
  <c r="Q167" i="1"/>
  <c r="P167" i="1"/>
  <c r="M167" i="1"/>
  <c r="K167" i="1"/>
  <c r="AH166" i="1"/>
  <c r="AG166" i="1"/>
  <c r="AC166" i="1"/>
  <c r="AA166" i="1"/>
  <c r="Z166" i="1"/>
  <c r="Y166" i="1"/>
  <c r="V166" i="1"/>
  <c r="U166" i="1"/>
  <c r="T166" i="1"/>
  <c r="R166" i="1"/>
  <c r="Q166" i="1"/>
  <c r="P166" i="1"/>
  <c r="M166" i="1"/>
  <c r="K166" i="1"/>
  <c r="AH165" i="1"/>
  <c r="AG165" i="1"/>
  <c r="AD165" i="1"/>
  <c r="AC165" i="1"/>
  <c r="AB165" i="1"/>
  <c r="AA165" i="1"/>
  <c r="Z165" i="1"/>
  <c r="Y165" i="1"/>
  <c r="V165" i="1"/>
  <c r="U165" i="1"/>
  <c r="T165" i="1"/>
  <c r="R165" i="1"/>
  <c r="Q165" i="1"/>
  <c r="P165" i="1"/>
  <c r="M165" i="1"/>
  <c r="K165" i="1"/>
  <c r="AH164" i="1"/>
  <c r="AG164" i="1"/>
  <c r="AF164" i="1"/>
  <c r="AD164" i="1"/>
  <c r="AC164" i="1"/>
  <c r="AB164" i="1"/>
  <c r="AA164" i="1"/>
  <c r="Z164" i="1"/>
  <c r="Y164" i="1"/>
  <c r="V164" i="1"/>
  <c r="U164" i="1"/>
  <c r="T164" i="1"/>
  <c r="R164" i="1"/>
  <c r="Q164" i="1"/>
  <c r="P164" i="1"/>
  <c r="M164" i="1"/>
  <c r="K164" i="1"/>
  <c r="AH163" i="1"/>
  <c r="AG163" i="1"/>
  <c r="AD163" i="1"/>
  <c r="AC163" i="1"/>
  <c r="AB163" i="1"/>
  <c r="AA163" i="1"/>
  <c r="Z163" i="1"/>
  <c r="Y163" i="1"/>
  <c r="V163" i="1"/>
  <c r="U163" i="1"/>
  <c r="T163" i="1"/>
  <c r="R163" i="1"/>
  <c r="Q163" i="1"/>
  <c r="P163" i="1"/>
  <c r="M163" i="1"/>
  <c r="K163" i="1"/>
  <c r="AH162" i="1"/>
  <c r="AG162" i="1"/>
  <c r="AF162" i="1"/>
  <c r="AD162" i="1"/>
  <c r="AC162" i="1"/>
  <c r="AA162" i="1"/>
  <c r="Z162" i="1"/>
  <c r="Y162" i="1"/>
  <c r="V162" i="1"/>
  <c r="U162" i="1"/>
  <c r="T162" i="1"/>
  <c r="R162" i="1"/>
  <c r="Q162" i="1"/>
  <c r="P162" i="1"/>
  <c r="M162" i="1"/>
  <c r="K162" i="1"/>
  <c r="AH161" i="1"/>
  <c r="AG161" i="1"/>
  <c r="AF161" i="1"/>
  <c r="AD161" i="1"/>
  <c r="AC161" i="1"/>
  <c r="AB161" i="1"/>
  <c r="AA161" i="1"/>
  <c r="Z161" i="1"/>
  <c r="Y161" i="1"/>
  <c r="V161" i="1"/>
  <c r="U161" i="1"/>
  <c r="T161" i="1"/>
  <c r="R161" i="1"/>
  <c r="Q161" i="1"/>
  <c r="P161" i="1"/>
  <c r="M161" i="1"/>
  <c r="K161" i="1"/>
  <c r="AH160" i="1"/>
  <c r="AG160" i="1"/>
  <c r="AF160" i="1"/>
  <c r="AD160" i="1"/>
  <c r="AC160" i="1"/>
  <c r="AB160" i="1"/>
  <c r="AA160" i="1"/>
  <c r="Z160" i="1"/>
  <c r="Y160" i="1"/>
  <c r="V160" i="1"/>
  <c r="U160" i="1"/>
  <c r="T160" i="1"/>
  <c r="R160" i="1"/>
  <c r="Q160" i="1"/>
  <c r="P160" i="1"/>
  <c r="M160" i="1"/>
  <c r="K160" i="1"/>
  <c r="AH159" i="1"/>
  <c r="AG159" i="1"/>
  <c r="AF159" i="1"/>
  <c r="AD159" i="1"/>
  <c r="AC159" i="1"/>
  <c r="AA159" i="1"/>
  <c r="Z159" i="1"/>
  <c r="Y159" i="1"/>
  <c r="V159" i="1"/>
  <c r="U159" i="1"/>
  <c r="T159" i="1"/>
  <c r="R159" i="1"/>
  <c r="Q159" i="1"/>
  <c r="P159" i="1"/>
  <c r="M159" i="1"/>
  <c r="K159" i="1"/>
  <c r="AH158" i="1"/>
  <c r="AG158" i="1"/>
  <c r="AD158" i="1"/>
  <c r="AC158" i="1"/>
  <c r="AA158" i="1"/>
  <c r="Z158" i="1"/>
  <c r="Y158" i="1"/>
  <c r="V158" i="1"/>
  <c r="U158" i="1"/>
  <c r="T158" i="1"/>
  <c r="R158" i="1"/>
  <c r="Q158" i="1"/>
  <c r="P158" i="1"/>
  <c r="M158" i="1"/>
  <c r="K158" i="1"/>
  <c r="AH157" i="1"/>
  <c r="AG157" i="1"/>
  <c r="AD157" i="1"/>
  <c r="AC157" i="1"/>
  <c r="AA157" i="1"/>
  <c r="Y157" i="1"/>
  <c r="V157" i="1"/>
  <c r="U157" i="1"/>
  <c r="T157" i="1"/>
  <c r="R157" i="1"/>
  <c r="Q157" i="1"/>
  <c r="P157" i="1"/>
  <c r="M157" i="1"/>
  <c r="K157" i="1"/>
  <c r="AH156" i="1"/>
  <c r="AG156" i="1"/>
  <c r="AF156" i="1"/>
  <c r="AD156" i="1"/>
  <c r="AC156" i="1"/>
  <c r="AA156" i="1"/>
  <c r="Z156" i="1"/>
  <c r="Y156" i="1"/>
  <c r="V156" i="1"/>
  <c r="U156" i="1"/>
  <c r="T156" i="1"/>
  <c r="R156" i="1"/>
  <c r="Q156" i="1"/>
  <c r="P156" i="1"/>
  <c r="M156" i="1"/>
  <c r="K156" i="1"/>
  <c r="AH155" i="1"/>
  <c r="AG155" i="1"/>
  <c r="AF155" i="1"/>
  <c r="AD155" i="1"/>
  <c r="AC155" i="1"/>
  <c r="AA155" i="1"/>
  <c r="Z155" i="1"/>
  <c r="Y155" i="1"/>
  <c r="V155" i="1"/>
  <c r="U155" i="1"/>
  <c r="T155" i="1"/>
  <c r="R155" i="1"/>
  <c r="Q155" i="1"/>
  <c r="P155" i="1"/>
  <c r="M155" i="1"/>
  <c r="K155" i="1"/>
  <c r="AH154" i="1"/>
  <c r="AG154" i="1"/>
  <c r="AF154" i="1"/>
  <c r="AD154" i="1"/>
  <c r="AC154" i="1"/>
  <c r="AB154" i="1"/>
  <c r="AA154" i="1"/>
  <c r="Z154" i="1"/>
  <c r="Y154" i="1"/>
  <c r="V154" i="1"/>
  <c r="U154" i="1"/>
  <c r="T154" i="1"/>
  <c r="R154" i="1"/>
  <c r="Q154" i="1"/>
  <c r="P154" i="1"/>
  <c r="M154" i="1"/>
  <c r="K154" i="1"/>
  <c r="AH153" i="1"/>
  <c r="AG153" i="1"/>
  <c r="AF153" i="1"/>
  <c r="AC153" i="1"/>
  <c r="AB153" i="1"/>
  <c r="AA153" i="1"/>
  <c r="Z153" i="1"/>
  <c r="Y153" i="1"/>
  <c r="V153" i="1"/>
  <c r="U153" i="1"/>
  <c r="T153" i="1"/>
  <c r="R153" i="1"/>
  <c r="Q153" i="1"/>
  <c r="P153" i="1"/>
  <c r="M153" i="1"/>
  <c r="K153" i="1"/>
  <c r="AH152" i="1"/>
  <c r="AG152" i="1"/>
  <c r="AF152" i="1"/>
  <c r="AD152" i="1"/>
  <c r="AC152" i="1"/>
  <c r="AB152" i="1"/>
  <c r="AA152" i="1"/>
  <c r="Z152" i="1"/>
  <c r="Y152" i="1"/>
  <c r="V152" i="1"/>
  <c r="U152" i="1"/>
  <c r="T152" i="1"/>
  <c r="R152" i="1"/>
  <c r="Q152" i="1"/>
  <c r="P152" i="1"/>
  <c r="M152" i="1"/>
  <c r="K152" i="1"/>
  <c r="AH151" i="1"/>
  <c r="AG151" i="1"/>
  <c r="AF151" i="1"/>
  <c r="AD151" i="1"/>
  <c r="AC151" i="1"/>
  <c r="AB151" i="1"/>
  <c r="AA151" i="1"/>
  <c r="Z151" i="1"/>
  <c r="Y151" i="1"/>
  <c r="V151" i="1"/>
  <c r="U151" i="1"/>
  <c r="T151" i="1"/>
  <c r="R151" i="1"/>
  <c r="Q151" i="1"/>
  <c r="P151" i="1"/>
  <c r="M151" i="1"/>
  <c r="K151" i="1"/>
  <c r="AH150" i="1"/>
  <c r="AG150" i="1"/>
  <c r="AC150" i="1"/>
  <c r="AB150" i="1"/>
  <c r="AA150" i="1"/>
  <c r="Z150" i="1"/>
  <c r="Y150" i="1"/>
  <c r="V150" i="1"/>
  <c r="U150" i="1"/>
  <c r="T150" i="1"/>
  <c r="R150" i="1"/>
  <c r="Q150" i="1"/>
  <c r="P150" i="1"/>
  <c r="M150" i="1"/>
  <c r="K150" i="1"/>
  <c r="AH149" i="1"/>
  <c r="AG149" i="1"/>
  <c r="AC149" i="1"/>
  <c r="AB149" i="1"/>
  <c r="AA149" i="1"/>
  <c r="Z149" i="1"/>
  <c r="Y149" i="1"/>
  <c r="V149" i="1"/>
  <c r="U149" i="1"/>
  <c r="T149" i="1"/>
  <c r="R149" i="1"/>
  <c r="Q149" i="1"/>
  <c r="P149" i="1"/>
  <c r="M149" i="1"/>
  <c r="K149" i="1"/>
  <c r="AH148" i="1"/>
  <c r="AG148" i="1"/>
  <c r="AC148" i="1"/>
  <c r="AA148" i="1"/>
  <c r="Z148" i="1"/>
  <c r="Y148" i="1"/>
  <c r="V148" i="1"/>
  <c r="U148" i="1"/>
  <c r="T148" i="1"/>
  <c r="R148" i="1"/>
  <c r="Q148" i="1"/>
  <c r="P148" i="1"/>
  <c r="M148" i="1"/>
  <c r="K148" i="1"/>
  <c r="AH147" i="1"/>
  <c r="AG147" i="1"/>
  <c r="AC147" i="1"/>
  <c r="AA147" i="1"/>
  <c r="Z147" i="1"/>
  <c r="Y147" i="1"/>
  <c r="V147" i="1"/>
  <c r="U147" i="1"/>
  <c r="T147" i="1"/>
  <c r="R147" i="1"/>
  <c r="Q147" i="1"/>
  <c r="P147" i="1"/>
  <c r="M147" i="1"/>
  <c r="K147" i="1"/>
  <c r="AH146" i="1"/>
  <c r="AG146" i="1"/>
  <c r="AC146" i="1"/>
  <c r="AA146" i="1"/>
  <c r="Z146" i="1"/>
  <c r="Y146" i="1"/>
  <c r="V146" i="1"/>
  <c r="U146" i="1"/>
  <c r="T146" i="1"/>
  <c r="R146" i="1"/>
  <c r="Q146" i="1"/>
  <c r="P146" i="1"/>
  <c r="M146" i="1"/>
  <c r="K146" i="1"/>
  <c r="AH145" i="1"/>
  <c r="AG145" i="1"/>
  <c r="AC145" i="1"/>
  <c r="AA145" i="1"/>
  <c r="Z145" i="1"/>
  <c r="Y145" i="1"/>
  <c r="V145" i="1"/>
  <c r="U145" i="1"/>
  <c r="T145" i="1"/>
  <c r="R145" i="1"/>
  <c r="Q145" i="1"/>
  <c r="P145" i="1"/>
  <c r="M145" i="1"/>
  <c r="K145" i="1"/>
  <c r="AH144" i="1"/>
  <c r="AG144" i="1"/>
  <c r="AC144" i="1"/>
  <c r="AA144" i="1"/>
  <c r="Z144" i="1"/>
  <c r="Y144" i="1"/>
  <c r="V144" i="1"/>
  <c r="U144" i="1"/>
  <c r="T144" i="1"/>
  <c r="R144" i="1"/>
  <c r="Q144" i="1"/>
  <c r="P144" i="1"/>
  <c r="M144" i="1"/>
  <c r="K144" i="1"/>
  <c r="AH143" i="1"/>
  <c r="AG143" i="1"/>
  <c r="AC143" i="1"/>
  <c r="AA143" i="1"/>
  <c r="Z143" i="1"/>
  <c r="Y143" i="1"/>
  <c r="V143" i="1"/>
  <c r="U143" i="1"/>
  <c r="T143" i="1"/>
  <c r="R143" i="1"/>
  <c r="Q143" i="1"/>
  <c r="P143" i="1"/>
  <c r="M143" i="1"/>
  <c r="K143" i="1"/>
  <c r="AH142" i="1"/>
  <c r="AG142" i="1"/>
  <c r="AC142" i="1"/>
  <c r="AA142" i="1"/>
  <c r="Z142" i="1"/>
  <c r="Y142" i="1"/>
  <c r="V142" i="1"/>
  <c r="U142" i="1"/>
  <c r="T142" i="1"/>
  <c r="R142" i="1"/>
  <c r="Q142" i="1"/>
  <c r="P142" i="1"/>
  <c r="M142" i="1"/>
  <c r="K142" i="1"/>
  <c r="AH141" i="1"/>
  <c r="AG141" i="1"/>
  <c r="AF141" i="1"/>
  <c r="AE141" i="1"/>
  <c r="AC141" i="1"/>
  <c r="AA141" i="1"/>
  <c r="Z141" i="1"/>
  <c r="Y141" i="1"/>
  <c r="V141" i="1"/>
  <c r="U141" i="1"/>
  <c r="T141" i="1"/>
  <c r="R141" i="1"/>
  <c r="Q141" i="1"/>
  <c r="P141" i="1"/>
  <c r="M141" i="1"/>
  <c r="K141" i="1"/>
  <c r="AH140" i="1"/>
  <c r="AG140" i="1"/>
  <c r="AF140" i="1"/>
  <c r="AE140" i="1"/>
  <c r="AC140" i="1"/>
  <c r="AA140" i="1"/>
  <c r="Z140" i="1"/>
  <c r="Y140" i="1"/>
  <c r="V140" i="1"/>
  <c r="U140" i="1"/>
  <c r="T140" i="1"/>
  <c r="R140" i="1"/>
  <c r="Q140" i="1"/>
  <c r="P140" i="1"/>
  <c r="M140" i="1"/>
  <c r="K140" i="1"/>
  <c r="AH139" i="1"/>
  <c r="AG139" i="1"/>
  <c r="AF139" i="1"/>
  <c r="AE139" i="1"/>
  <c r="AC139" i="1"/>
  <c r="AA139" i="1"/>
  <c r="Z139" i="1"/>
  <c r="Y139" i="1"/>
  <c r="V139" i="1"/>
  <c r="U139" i="1"/>
  <c r="T139" i="1"/>
  <c r="R139" i="1"/>
  <c r="Q139" i="1"/>
  <c r="P139" i="1"/>
  <c r="M139" i="1"/>
  <c r="K139" i="1"/>
  <c r="AH138" i="1"/>
  <c r="AG138" i="1"/>
  <c r="AF138" i="1"/>
  <c r="AE138" i="1"/>
  <c r="AC138" i="1"/>
  <c r="AA138" i="1"/>
  <c r="Z138" i="1"/>
  <c r="Y138" i="1"/>
  <c r="V138" i="1"/>
  <c r="U138" i="1"/>
  <c r="T138" i="1"/>
  <c r="R138" i="1"/>
  <c r="Q138" i="1"/>
  <c r="P138" i="1"/>
  <c r="M138" i="1"/>
  <c r="K138" i="1"/>
  <c r="AH137" i="1"/>
  <c r="AG137" i="1"/>
  <c r="AC137" i="1"/>
  <c r="AB137" i="1"/>
  <c r="AA137" i="1"/>
  <c r="Y137" i="1"/>
  <c r="V137" i="1"/>
  <c r="U137" i="1"/>
  <c r="T137" i="1"/>
  <c r="R137" i="1"/>
  <c r="P137" i="1"/>
  <c r="M137" i="1"/>
  <c r="AH136" i="1"/>
  <c r="AG136" i="1"/>
  <c r="AC136" i="1"/>
  <c r="AB136" i="1"/>
  <c r="AA136" i="1"/>
  <c r="Y136" i="1"/>
  <c r="V136" i="1"/>
  <c r="U136" i="1"/>
  <c r="T136" i="1"/>
  <c r="R136" i="1"/>
  <c r="P136" i="1"/>
  <c r="M136" i="1"/>
  <c r="AH135" i="1"/>
  <c r="AG135" i="1"/>
  <c r="AF135" i="1"/>
  <c r="AD135" i="1"/>
  <c r="AC135" i="1"/>
  <c r="AA135" i="1"/>
  <c r="Z135" i="1"/>
  <c r="Y135" i="1"/>
  <c r="V135" i="1"/>
  <c r="U135" i="1"/>
  <c r="T135" i="1"/>
  <c r="R135" i="1"/>
  <c r="Q135" i="1"/>
  <c r="P135" i="1"/>
  <c r="M135" i="1"/>
  <c r="K135" i="1"/>
  <c r="AH134" i="1"/>
  <c r="AG134" i="1"/>
  <c r="AF134" i="1"/>
  <c r="AD134" i="1"/>
  <c r="AC134" i="1"/>
  <c r="AB134" i="1"/>
  <c r="AA134" i="1"/>
  <c r="Z134" i="1"/>
  <c r="Y134" i="1"/>
  <c r="V134" i="1"/>
  <c r="U134" i="1"/>
  <c r="T134" i="1"/>
  <c r="R134" i="1"/>
  <c r="Q134" i="1"/>
  <c r="P134" i="1"/>
  <c r="M134" i="1"/>
  <c r="K134" i="1"/>
  <c r="AH133" i="1"/>
  <c r="AG133" i="1"/>
  <c r="AF133" i="1"/>
  <c r="AD133" i="1"/>
  <c r="AC133" i="1"/>
  <c r="AB133" i="1"/>
  <c r="AA133" i="1"/>
  <c r="Z133" i="1"/>
  <c r="Y133" i="1"/>
  <c r="V133" i="1"/>
  <c r="U133" i="1"/>
  <c r="T133" i="1"/>
  <c r="R133" i="1"/>
  <c r="Q133" i="1"/>
  <c r="P133" i="1"/>
  <c r="M133" i="1"/>
  <c r="K133" i="1"/>
  <c r="AH132" i="1"/>
  <c r="AG132" i="1"/>
  <c r="AF132" i="1"/>
  <c r="AD132" i="1"/>
  <c r="AC132" i="1"/>
  <c r="AA132" i="1"/>
  <c r="Z132" i="1"/>
  <c r="Y132" i="1"/>
  <c r="V132" i="1"/>
  <c r="U132" i="1"/>
  <c r="T132" i="1"/>
  <c r="R132" i="1"/>
  <c r="Q132" i="1"/>
  <c r="P132" i="1"/>
  <c r="M132" i="1"/>
  <c r="K132" i="1"/>
  <c r="AH131" i="1"/>
  <c r="AG131" i="1"/>
  <c r="AD131" i="1"/>
  <c r="AC131" i="1"/>
  <c r="AA131" i="1"/>
  <c r="Z131" i="1"/>
  <c r="Y131" i="1"/>
  <c r="V131" i="1"/>
  <c r="U131" i="1"/>
  <c r="T131" i="1"/>
  <c r="R131" i="1"/>
  <c r="Q131" i="1"/>
  <c r="P131" i="1"/>
  <c r="M131" i="1"/>
  <c r="K131" i="1"/>
  <c r="AH130" i="1"/>
  <c r="AG130" i="1"/>
  <c r="AD130" i="1"/>
  <c r="AC130" i="1"/>
  <c r="AA130" i="1"/>
  <c r="Y130" i="1"/>
  <c r="V130" i="1"/>
  <c r="U130" i="1"/>
  <c r="T130" i="1"/>
  <c r="R130" i="1"/>
  <c r="Q130" i="1"/>
  <c r="P130" i="1"/>
  <c r="M130" i="1"/>
  <c r="K130" i="1"/>
  <c r="AH129" i="1"/>
  <c r="AG129" i="1"/>
  <c r="AF129" i="1"/>
  <c r="AD129" i="1"/>
  <c r="AC129" i="1"/>
  <c r="AA129" i="1"/>
  <c r="Z129" i="1"/>
  <c r="Y129" i="1"/>
  <c r="V129" i="1"/>
  <c r="U129" i="1"/>
  <c r="T129" i="1"/>
  <c r="R129" i="1"/>
  <c r="Q129" i="1"/>
  <c r="P129" i="1"/>
  <c r="M129" i="1"/>
  <c r="K129" i="1"/>
  <c r="AH128" i="1"/>
  <c r="AG128" i="1"/>
  <c r="AF128" i="1"/>
  <c r="AD128" i="1"/>
  <c r="AC128" i="1"/>
  <c r="AA128" i="1"/>
  <c r="Z128" i="1"/>
  <c r="Y128" i="1"/>
  <c r="V128" i="1"/>
  <c r="U128" i="1"/>
  <c r="T128" i="1"/>
  <c r="R128" i="1"/>
  <c r="Q128" i="1"/>
  <c r="P128" i="1"/>
  <c r="M128" i="1"/>
  <c r="K128" i="1"/>
  <c r="AH127" i="1"/>
  <c r="AG127" i="1"/>
  <c r="AF127" i="1"/>
  <c r="AD127" i="1"/>
  <c r="AC127" i="1"/>
  <c r="AB127" i="1"/>
  <c r="AA127" i="1"/>
  <c r="Z127" i="1"/>
  <c r="Y127" i="1"/>
  <c r="V127" i="1"/>
  <c r="U127" i="1"/>
  <c r="T127" i="1"/>
  <c r="R127" i="1"/>
  <c r="Q127" i="1"/>
  <c r="P127" i="1"/>
  <c r="M127" i="1"/>
  <c r="K127" i="1"/>
  <c r="AH126" i="1"/>
  <c r="AG126" i="1"/>
  <c r="AF126" i="1"/>
  <c r="AC126" i="1"/>
  <c r="AB126" i="1"/>
  <c r="AA126" i="1"/>
  <c r="Z126" i="1"/>
  <c r="Y126" i="1"/>
  <c r="V126" i="1"/>
  <c r="U126" i="1"/>
  <c r="T126" i="1"/>
  <c r="R126" i="1"/>
  <c r="Q126" i="1"/>
  <c r="P126" i="1"/>
  <c r="M126" i="1"/>
  <c r="K126" i="1"/>
  <c r="AH125" i="1"/>
  <c r="AG125" i="1"/>
  <c r="AF125" i="1"/>
  <c r="AD125" i="1"/>
  <c r="AC125" i="1"/>
  <c r="AB125" i="1"/>
  <c r="AA125" i="1"/>
  <c r="Z125" i="1"/>
  <c r="Y125" i="1"/>
  <c r="V125" i="1"/>
  <c r="U125" i="1"/>
  <c r="T125" i="1"/>
  <c r="R125" i="1"/>
  <c r="Q125" i="1"/>
  <c r="P125" i="1"/>
  <c r="M125" i="1"/>
  <c r="K125" i="1"/>
  <c r="AH124" i="1"/>
  <c r="AG124" i="1"/>
  <c r="AF124" i="1"/>
  <c r="AD124" i="1"/>
  <c r="AC124" i="1"/>
  <c r="AB124" i="1"/>
  <c r="AA124" i="1"/>
  <c r="Z124" i="1"/>
  <c r="Y124" i="1"/>
  <c r="V124" i="1"/>
  <c r="U124" i="1"/>
  <c r="T124" i="1"/>
  <c r="R124" i="1"/>
  <c r="Q124" i="1"/>
  <c r="P124" i="1"/>
  <c r="M124" i="1"/>
  <c r="K124" i="1"/>
  <c r="AH123" i="1"/>
  <c r="AG123" i="1"/>
  <c r="AC123" i="1"/>
  <c r="AB123" i="1"/>
  <c r="AA123" i="1"/>
  <c r="Z123" i="1"/>
  <c r="Y123" i="1"/>
  <c r="V123" i="1"/>
  <c r="U123" i="1"/>
  <c r="T123" i="1"/>
  <c r="R123" i="1"/>
  <c r="Q123" i="1"/>
  <c r="P123" i="1"/>
  <c r="M123" i="1"/>
  <c r="K123" i="1"/>
  <c r="AH122" i="1"/>
  <c r="AG122" i="1"/>
  <c r="AC122" i="1"/>
  <c r="AB122" i="1"/>
  <c r="AA122" i="1"/>
  <c r="Z122" i="1"/>
  <c r="Y122" i="1"/>
  <c r="V122" i="1"/>
  <c r="U122" i="1"/>
  <c r="T122" i="1"/>
  <c r="R122" i="1"/>
  <c r="Q122" i="1"/>
  <c r="P122" i="1"/>
  <c r="M122" i="1"/>
  <c r="K122" i="1"/>
  <c r="AH121" i="1"/>
  <c r="AG121" i="1"/>
  <c r="AC121" i="1"/>
  <c r="AA121" i="1"/>
  <c r="Z121" i="1"/>
  <c r="Y121" i="1"/>
  <c r="V121" i="1"/>
  <c r="U121" i="1"/>
  <c r="T121" i="1"/>
  <c r="R121" i="1"/>
  <c r="Q121" i="1"/>
  <c r="P121" i="1"/>
  <c r="M121" i="1"/>
  <c r="K121" i="1"/>
  <c r="AH120" i="1"/>
  <c r="AG120" i="1"/>
  <c r="AC120" i="1"/>
  <c r="AA120" i="1"/>
  <c r="Z120" i="1"/>
  <c r="Y120" i="1"/>
  <c r="V120" i="1"/>
  <c r="U120" i="1"/>
  <c r="T120" i="1"/>
  <c r="R120" i="1"/>
  <c r="Q120" i="1"/>
  <c r="P120" i="1"/>
  <c r="M120" i="1"/>
  <c r="K120" i="1"/>
  <c r="AH119" i="1"/>
  <c r="AG119" i="1"/>
  <c r="AC119" i="1"/>
  <c r="AA119" i="1"/>
  <c r="Z119" i="1"/>
  <c r="Y119" i="1"/>
  <c r="V119" i="1"/>
  <c r="U119" i="1"/>
  <c r="T119" i="1"/>
  <c r="R119" i="1"/>
  <c r="Q119" i="1"/>
  <c r="P119" i="1"/>
  <c r="M119" i="1"/>
  <c r="K119" i="1"/>
  <c r="AH118" i="1"/>
  <c r="AG118" i="1"/>
  <c r="AC118" i="1"/>
  <c r="AA118" i="1"/>
  <c r="Z118" i="1"/>
  <c r="Y118" i="1"/>
  <c r="V118" i="1"/>
  <c r="U118" i="1"/>
  <c r="T118" i="1"/>
  <c r="R118" i="1"/>
  <c r="Q118" i="1"/>
  <c r="P118" i="1"/>
  <c r="M118" i="1"/>
  <c r="K118" i="1"/>
  <c r="AH117" i="1"/>
  <c r="AG117" i="1"/>
  <c r="AC117" i="1"/>
  <c r="AA117" i="1"/>
  <c r="Z117" i="1"/>
  <c r="Y117" i="1"/>
  <c r="V117" i="1"/>
  <c r="U117" i="1"/>
  <c r="T117" i="1"/>
  <c r="R117" i="1"/>
  <c r="Q117" i="1"/>
  <c r="P117" i="1"/>
  <c r="M117" i="1"/>
  <c r="K117" i="1"/>
  <c r="AH116" i="1"/>
  <c r="AG116" i="1"/>
  <c r="AC116" i="1"/>
  <c r="AA116" i="1"/>
  <c r="Z116" i="1"/>
  <c r="Y116" i="1"/>
  <c r="V116" i="1"/>
  <c r="U116" i="1"/>
  <c r="T116" i="1"/>
  <c r="R116" i="1"/>
  <c r="Q116" i="1"/>
  <c r="P116" i="1"/>
  <c r="M116" i="1"/>
  <c r="K116" i="1"/>
  <c r="AH115" i="1"/>
  <c r="AG115" i="1"/>
  <c r="AF115" i="1"/>
  <c r="AE115" i="1"/>
  <c r="AC115" i="1"/>
  <c r="AA115" i="1"/>
  <c r="Z115" i="1"/>
  <c r="Y115" i="1"/>
  <c r="V115" i="1"/>
  <c r="U115" i="1"/>
  <c r="T115" i="1"/>
  <c r="R115" i="1"/>
  <c r="Q115" i="1"/>
  <c r="P115" i="1"/>
  <c r="M115" i="1"/>
  <c r="K115" i="1"/>
  <c r="AH114" i="1"/>
  <c r="AG114" i="1"/>
  <c r="AF114" i="1"/>
  <c r="AE114" i="1"/>
  <c r="AC114" i="1"/>
  <c r="AA114" i="1"/>
  <c r="Z114" i="1"/>
  <c r="Y114" i="1"/>
  <c r="V114" i="1"/>
  <c r="U114" i="1"/>
  <c r="T114" i="1"/>
  <c r="R114" i="1"/>
  <c r="Q114" i="1"/>
  <c r="P114" i="1"/>
  <c r="M114" i="1"/>
  <c r="K114" i="1"/>
  <c r="AH113" i="1"/>
  <c r="AG113" i="1"/>
  <c r="AF113" i="1"/>
  <c r="AE113" i="1"/>
  <c r="AC113" i="1"/>
  <c r="AA113" i="1"/>
  <c r="Z113" i="1"/>
  <c r="Y113" i="1"/>
  <c r="V113" i="1"/>
  <c r="U113" i="1"/>
  <c r="T113" i="1"/>
  <c r="R113" i="1"/>
  <c r="Q113" i="1"/>
  <c r="P113" i="1"/>
  <c r="M113" i="1"/>
  <c r="K113" i="1"/>
  <c r="AH112" i="1"/>
  <c r="AG112" i="1"/>
  <c r="AF112" i="1"/>
  <c r="AE112" i="1"/>
  <c r="AC112" i="1"/>
  <c r="AA112" i="1"/>
  <c r="Z112" i="1"/>
  <c r="Y112" i="1"/>
  <c r="V112" i="1"/>
  <c r="U112" i="1"/>
  <c r="T112" i="1"/>
  <c r="R112" i="1"/>
  <c r="Q112" i="1"/>
  <c r="P112" i="1"/>
  <c r="M112" i="1"/>
  <c r="K112" i="1"/>
  <c r="AH111" i="1"/>
  <c r="AG111" i="1"/>
  <c r="AC111" i="1"/>
  <c r="AB111" i="1"/>
  <c r="AA111" i="1"/>
  <c r="Y111" i="1"/>
  <c r="V111" i="1"/>
  <c r="U111" i="1"/>
  <c r="T111" i="1"/>
  <c r="R111" i="1"/>
  <c r="P111" i="1"/>
  <c r="M111" i="1"/>
  <c r="AH110" i="1"/>
  <c r="AG110" i="1"/>
  <c r="AC110" i="1"/>
  <c r="AB110" i="1"/>
  <c r="AA110" i="1"/>
  <c r="Y110" i="1"/>
  <c r="V110" i="1"/>
  <c r="U110" i="1"/>
  <c r="T110" i="1"/>
  <c r="R110" i="1"/>
  <c r="P110" i="1"/>
  <c r="M110" i="1"/>
  <c r="AH109" i="1"/>
  <c r="AG109" i="1"/>
  <c r="AC109" i="1"/>
  <c r="AB109" i="1"/>
  <c r="AA109" i="1"/>
  <c r="Z109" i="1"/>
  <c r="Y109" i="1"/>
  <c r="V109" i="1"/>
  <c r="U109" i="1"/>
  <c r="T109" i="1"/>
  <c r="R109" i="1"/>
  <c r="Q109" i="1"/>
  <c r="P109" i="1"/>
  <c r="M109" i="1"/>
  <c r="K109" i="1"/>
  <c r="AH108" i="1"/>
  <c r="AG108" i="1"/>
  <c r="AC108" i="1"/>
  <c r="AB108" i="1"/>
  <c r="AA108" i="1"/>
  <c r="Z108" i="1"/>
  <c r="Y108" i="1"/>
  <c r="V108" i="1"/>
  <c r="U108" i="1"/>
  <c r="T108" i="1"/>
  <c r="R108" i="1"/>
  <c r="Q108" i="1"/>
  <c r="P108" i="1"/>
  <c r="M108" i="1"/>
  <c r="K108" i="1"/>
  <c r="AH107" i="1"/>
  <c r="AG107" i="1"/>
  <c r="Y107" i="1"/>
  <c r="V107" i="1"/>
  <c r="U107" i="1"/>
  <c r="T107" i="1"/>
  <c r="R107" i="1"/>
  <c r="Q107" i="1"/>
  <c r="P107" i="1"/>
  <c r="M107" i="1"/>
  <c r="K107" i="1"/>
  <c r="AH106" i="1"/>
  <c r="AG106" i="1"/>
  <c r="AC106" i="1"/>
  <c r="AA106" i="1"/>
  <c r="Z106" i="1"/>
  <c r="Y106" i="1"/>
  <c r="V106" i="1"/>
  <c r="U106" i="1"/>
  <c r="T106" i="1"/>
  <c r="R106" i="1"/>
  <c r="Q106" i="1"/>
  <c r="P106" i="1"/>
  <c r="M106" i="1"/>
  <c r="K106" i="1"/>
  <c r="AH105" i="1"/>
  <c r="AG105" i="1"/>
  <c r="AF105" i="1"/>
  <c r="AD105" i="1"/>
  <c r="AC105" i="1"/>
  <c r="AA105" i="1"/>
  <c r="Z105" i="1"/>
  <c r="Y105" i="1"/>
  <c r="V105" i="1"/>
  <c r="U105" i="1"/>
  <c r="T105" i="1"/>
  <c r="R105" i="1"/>
  <c r="Q105" i="1"/>
  <c r="P105" i="1"/>
  <c r="M105" i="1"/>
  <c r="K105" i="1"/>
  <c r="AH104" i="1"/>
  <c r="AG104" i="1"/>
  <c r="AF104" i="1"/>
  <c r="AD104" i="1"/>
  <c r="AC104" i="1"/>
  <c r="AB104" i="1"/>
  <c r="AA104" i="1"/>
  <c r="Z104" i="1"/>
  <c r="Y104" i="1"/>
  <c r="V104" i="1"/>
  <c r="U104" i="1"/>
  <c r="T104" i="1"/>
  <c r="R104" i="1"/>
  <c r="Q104" i="1"/>
  <c r="P104" i="1"/>
  <c r="M104" i="1"/>
  <c r="K104" i="1"/>
  <c r="AH103" i="1"/>
  <c r="AG103" i="1"/>
  <c r="AF103" i="1"/>
  <c r="AD103" i="1"/>
  <c r="AC103" i="1"/>
  <c r="AB103" i="1"/>
  <c r="AA103" i="1"/>
  <c r="Z103" i="1"/>
  <c r="Y103" i="1"/>
  <c r="V103" i="1"/>
  <c r="U103" i="1"/>
  <c r="T103" i="1"/>
  <c r="R103" i="1"/>
  <c r="Q103" i="1"/>
  <c r="P103" i="1"/>
  <c r="M103" i="1"/>
  <c r="K103" i="1"/>
  <c r="AH102" i="1"/>
  <c r="AG102" i="1"/>
  <c r="AF102" i="1"/>
  <c r="AD102" i="1"/>
  <c r="AC102" i="1"/>
  <c r="AA102" i="1"/>
  <c r="Z102" i="1"/>
  <c r="Y102" i="1"/>
  <c r="V102" i="1"/>
  <c r="U102" i="1"/>
  <c r="T102" i="1"/>
  <c r="R102" i="1"/>
  <c r="Q102" i="1"/>
  <c r="P102" i="1"/>
  <c r="M102" i="1"/>
  <c r="K102" i="1"/>
  <c r="AH101" i="1"/>
  <c r="AG101" i="1"/>
  <c r="AD101" i="1"/>
  <c r="AC101" i="1"/>
  <c r="AA101" i="1"/>
  <c r="Z101" i="1"/>
  <c r="Y101" i="1"/>
  <c r="V101" i="1"/>
  <c r="U101" i="1"/>
  <c r="T101" i="1"/>
  <c r="R101" i="1"/>
  <c r="Q101" i="1"/>
  <c r="P101" i="1"/>
  <c r="M101" i="1"/>
  <c r="K101" i="1"/>
  <c r="AH100" i="1"/>
  <c r="AG100" i="1"/>
  <c r="AD100" i="1"/>
  <c r="AC100" i="1"/>
  <c r="AA100" i="1"/>
  <c r="Y100" i="1"/>
  <c r="V100" i="1"/>
  <c r="U100" i="1"/>
  <c r="T100" i="1"/>
  <c r="R100" i="1"/>
  <c r="Q100" i="1"/>
  <c r="P100" i="1"/>
  <c r="M100" i="1"/>
  <c r="K100" i="1"/>
  <c r="AH99" i="1"/>
  <c r="AG99" i="1"/>
  <c r="AF99" i="1"/>
  <c r="AD99" i="1"/>
  <c r="AC99" i="1"/>
  <c r="AA99" i="1"/>
  <c r="Z99" i="1"/>
  <c r="Y99" i="1"/>
  <c r="V99" i="1"/>
  <c r="U99" i="1"/>
  <c r="T99" i="1"/>
  <c r="R99" i="1"/>
  <c r="Q99" i="1"/>
  <c r="P99" i="1"/>
  <c r="M99" i="1"/>
  <c r="K99" i="1"/>
  <c r="AH98" i="1"/>
  <c r="AG98" i="1"/>
  <c r="AF98" i="1"/>
  <c r="AD98" i="1"/>
  <c r="AC98" i="1"/>
  <c r="AA98" i="1"/>
  <c r="Z98" i="1"/>
  <c r="Y98" i="1"/>
  <c r="V98" i="1"/>
  <c r="U98" i="1"/>
  <c r="T98" i="1"/>
  <c r="R98" i="1"/>
  <c r="Q98" i="1"/>
  <c r="P98" i="1"/>
  <c r="M98" i="1"/>
  <c r="K98" i="1"/>
  <c r="AH97" i="1"/>
  <c r="AG97" i="1"/>
  <c r="AF97" i="1"/>
  <c r="AD97" i="1"/>
  <c r="AC97" i="1"/>
  <c r="AB97" i="1"/>
  <c r="AA97" i="1"/>
  <c r="Z97" i="1"/>
  <c r="Y97" i="1"/>
  <c r="V97" i="1"/>
  <c r="U97" i="1"/>
  <c r="T97" i="1"/>
  <c r="R97" i="1"/>
  <c r="Q97" i="1"/>
  <c r="P97" i="1"/>
  <c r="M97" i="1"/>
  <c r="K97" i="1"/>
  <c r="AH96" i="1"/>
  <c r="AG96" i="1"/>
  <c r="AF96" i="1"/>
  <c r="AC96" i="1"/>
  <c r="AB96" i="1"/>
  <c r="AA96" i="1"/>
  <c r="Z96" i="1"/>
  <c r="Y96" i="1"/>
  <c r="V96" i="1"/>
  <c r="U96" i="1"/>
  <c r="T96" i="1"/>
  <c r="R96" i="1"/>
  <c r="Q96" i="1"/>
  <c r="P96" i="1"/>
  <c r="M96" i="1"/>
  <c r="K96" i="1"/>
  <c r="AH95" i="1"/>
  <c r="AG95" i="1"/>
  <c r="AF95" i="1"/>
  <c r="AD95" i="1"/>
  <c r="AC95" i="1"/>
  <c r="AB95" i="1"/>
  <c r="AA95" i="1"/>
  <c r="Z95" i="1"/>
  <c r="Y95" i="1"/>
  <c r="V95" i="1"/>
  <c r="U95" i="1"/>
  <c r="T95" i="1"/>
  <c r="R95" i="1"/>
  <c r="Q95" i="1"/>
  <c r="P95" i="1"/>
  <c r="M95" i="1"/>
  <c r="K95" i="1"/>
  <c r="AH94" i="1"/>
  <c r="AG94" i="1"/>
  <c r="AF94" i="1"/>
  <c r="AD94" i="1"/>
  <c r="AC94" i="1"/>
  <c r="AB94" i="1"/>
  <c r="AA94" i="1"/>
  <c r="Z94" i="1"/>
  <c r="Y94" i="1"/>
  <c r="V94" i="1"/>
  <c r="U94" i="1"/>
  <c r="T94" i="1"/>
  <c r="R94" i="1"/>
  <c r="Q94" i="1"/>
  <c r="P94" i="1"/>
  <c r="M94" i="1"/>
  <c r="K94" i="1"/>
  <c r="AH93" i="1"/>
  <c r="AG93" i="1"/>
  <c r="AC93" i="1"/>
  <c r="AB93" i="1"/>
  <c r="AA93" i="1"/>
  <c r="Z93" i="1"/>
  <c r="Y93" i="1"/>
  <c r="V93" i="1"/>
  <c r="U93" i="1"/>
  <c r="T93" i="1"/>
  <c r="R93" i="1"/>
  <c r="Q93" i="1"/>
  <c r="P93" i="1"/>
  <c r="M93" i="1"/>
  <c r="K93" i="1"/>
  <c r="AH92" i="1"/>
  <c r="AG92" i="1"/>
  <c r="AC92" i="1"/>
  <c r="AB92" i="1"/>
  <c r="AA92" i="1"/>
  <c r="Z92" i="1"/>
  <c r="Y92" i="1"/>
  <c r="V92" i="1"/>
  <c r="U92" i="1"/>
  <c r="T92" i="1"/>
  <c r="R92" i="1"/>
  <c r="Q92" i="1"/>
  <c r="P92" i="1"/>
  <c r="M92" i="1"/>
  <c r="K92" i="1"/>
  <c r="AH91" i="1"/>
  <c r="AG91" i="1"/>
  <c r="AC91" i="1"/>
  <c r="AA91" i="1"/>
  <c r="Z91" i="1"/>
  <c r="Y91" i="1"/>
  <c r="V91" i="1"/>
  <c r="U91" i="1"/>
  <c r="T91" i="1"/>
  <c r="R91" i="1"/>
  <c r="Q91" i="1"/>
  <c r="P91" i="1"/>
  <c r="M91" i="1"/>
  <c r="K91" i="1"/>
  <c r="AH90" i="1"/>
  <c r="AG90" i="1"/>
  <c r="AC90" i="1"/>
  <c r="AA90" i="1"/>
  <c r="Z90" i="1"/>
  <c r="Y90" i="1"/>
  <c r="V90" i="1"/>
  <c r="U90" i="1"/>
  <c r="T90" i="1"/>
  <c r="R90" i="1"/>
  <c r="Q90" i="1"/>
  <c r="P90" i="1"/>
  <c r="M90" i="1"/>
  <c r="K90" i="1"/>
  <c r="AH89" i="1"/>
  <c r="AG89" i="1"/>
  <c r="AF89" i="1"/>
  <c r="AE89" i="1"/>
  <c r="AC89" i="1"/>
  <c r="AA89" i="1"/>
  <c r="Z89" i="1"/>
  <c r="Y89" i="1"/>
  <c r="V89" i="1"/>
  <c r="U89" i="1"/>
  <c r="T89" i="1"/>
  <c r="R89" i="1"/>
  <c r="Q89" i="1"/>
  <c r="P89" i="1"/>
  <c r="M89" i="1"/>
  <c r="K89" i="1"/>
  <c r="AH88" i="1"/>
  <c r="AG88" i="1"/>
  <c r="AF88" i="1"/>
  <c r="AE88" i="1"/>
  <c r="AC88" i="1"/>
  <c r="AA88" i="1"/>
  <c r="Z88" i="1"/>
  <c r="Y88" i="1"/>
  <c r="V88" i="1"/>
  <c r="U88" i="1"/>
  <c r="T88" i="1"/>
  <c r="R88" i="1"/>
  <c r="Q88" i="1"/>
  <c r="P88" i="1"/>
  <c r="M88" i="1"/>
  <c r="K88" i="1"/>
  <c r="AH87" i="1"/>
  <c r="AG87" i="1"/>
  <c r="AC87" i="1"/>
  <c r="AA87" i="1"/>
  <c r="Z87" i="1"/>
  <c r="Y87" i="1"/>
  <c r="V87" i="1"/>
  <c r="U87" i="1"/>
  <c r="T87" i="1"/>
  <c r="R87" i="1"/>
  <c r="Q87" i="1"/>
  <c r="P87" i="1"/>
  <c r="M87" i="1"/>
  <c r="K87" i="1"/>
  <c r="AH86" i="1"/>
  <c r="AG86" i="1"/>
  <c r="AC86" i="1"/>
  <c r="AA86" i="1"/>
  <c r="Z86" i="1"/>
  <c r="Y86" i="1"/>
  <c r="V86" i="1"/>
  <c r="U86" i="1"/>
  <c r="T86" i="1"/>
  <c r="R86" i="1"/>
  <c r="Q86" i="1"/>
  <c r="P86" i="1"/>
  <c r="M86" i="1"/>
  <c r="K86" i="1"/>
  <c r="AH85" i="1"/>
  <c r="AG85" i="1"/>
  <c r="AC85" i="1"/>
  <c r="AA85" i="1"/>
  <c r="Z85" i="1"/>
  <c r="Y85" i="1"/>
  <c r="V85" i="1"/>
  <c r="U85" i="1"/>
  <c r="T85" i="1"/>
  <c r="R85" i="1"/>
  <c r="Q85" i="1"/>
  <c r="P85" i="1"/>
  <c r="M85" i="1"/>
  <c r="K85" i="1"/>
  <c r="AH84" i="1"/>
  <c r="AG84" i="1"/>
  <c r="AC84" i="1"/>
  <c r="AA84" i="1"/>
  <c r="Z84" i="1"/>
  <c r="Y84" i="1"/>
  <c r="V84" i="1"/>
  <c r="U84" i="1"/>
  <c r="T84" i="1"/>
  <c r="R84" i="1"/>
  <c r="Q84" i="1"/>
  <c r="P84" i="1"/>
  <c r="M84" i="1"/>
  <c r="K84" i="1"/>
  <c r="AH83" i="1"/>
  <c r="AG83" i="1"/>
  <c r="AF83" i="1"/>
  <c r="AE83" i="1"/>
  <c r="AC83" i="1"/>
  <c r="AA83" i="1"/>
  <c r="Z83" i="1"/>
  <c r="Y83" i="1"/>
  <c r="V83" i="1"/>
  <c r="U83" i="1"/>
  <c r="T83" i="1"/>
  <c r="R83" i="1"/>
  <c r="Q83" i="1"/>
  <c r="P83" i="1"/>
  <c r="M83" i="1"/>
  <c r="K83" i="1"/>
  <c r="AH82" i="1"/>
  <c r="AG82" i="1"/>
  <c r="AC82" i="1"/>
  <c r="AB82" i="1"/>
  <c r="AA82" i="1"/>
  <c r="Y82" i="1"/>
  <c r="V82" i="1"/>
  <c r="U82" i="1"/>
  <c r="T82" i="1"/>
  <c r="R82" i="1"/>
  <c r="P82" i="1"/>
  <c r="M82" i="1"/>
  <c r="AH81" i="1"/>
  <c r="AG81" i="1"/>
  <c r="AC81" i="1"/>
  <c r="AB81" i="1"/>
  <c r="AA81" i="1"/>
  <c r="Y81" i="1"/>
  <c r="V81" i="1"/>
  <c r="U81" i="1"/>
  <c r="T81" i="1"/>
  <c r="R81" i="1"/>
  <c r="P81" i="1"/>
  <c r="M81" i="1"/>
  <c r="AH80" i="1"/>
  <c r="AG80" i="1"/>
  <c r="AC80" i="1"/>
  <c r="AB80" i="1"/>
  <c r="AA80" i="1"/>
  <c r="Z80" i="1"/>
  <c r="Y80" i="1"/>
  <c r="V80" i="1"/>
  <c r="U80" i="1"/>
  <c r="T80" i="1"/>
  <c r="R80" i="1"/>
  <c r="Q80" i="1"/>
  <c r="P80" i="1"/>
  <c r="M80" i="1"/>
  <c r="K80" i="1"/>
  <c r="AH79" i="1"/>
  <c r="AG79" i="1"/>
  <c r="AC79" i="1"/>
  <c r="AB79" i="1"/>
  <c r="AA79" i="1"/>
  <c r="Z79" i="1"/>
  <c r="Y79" i="1"/>
  <c r="V79" i="1"/>
  <c r="U79" i="1"/>
  <c r="T79" i="1"/>
  <c r="R79" i="1"/>
  <c r="Q79" i="1"/>
  <c r="P79" i="1"/>
  <c r="M79" i="1"/>
  <c r="K79" i="1"/>
  <c r="AH78" i="1"/>
  <c r="AG78" i="1"/>
  <c r="Y78" i="1"/>
  <c r="V78" i="1"/>
  <c r="U78" i="1"/>
  <c r="T78" i="1"/>
  <c r="R78" i="1"/>
  <c r="Q78" i="1"/>
  <c r="P78" i="1"/>
  <c r="M78" i="1"/>
  <c r="K78" i="1"/>
  <c r="AH77" i="1"/>
  <c r="AG77" i="1"/>
  <c r="AC77" i="1"/>
  <c r="AA77" i="1"/>
  <c r="Z77" i="1"/>
  <c r="Y77" i="1"/>
  <c r="V77" i="1"/>
  <c r="U77" i="1"/>
  <c r="T77" i="1"/>
  <c r="R77" i="1"/>
  <c r="Q77" i="1"/>
  <c r="P77" i="1"/>
  <c r="M77" i="1"/>
  <c r="K77" i="1"/>
  <c r="AH76" i="1"/>
  <c r="AG76" i="1"/>
  <c r="AC76" i="1"/>
  <c r="AA76" i="1"/>
  <c r="Z76" i="1"/>
  <c r="Y76" i="1"/>
  <c r="V76" i="1"/>
  <c r="U76" i="1"/>
  <c r="T76" i="1"/>
  <c r="R76" i="1"/>
  <c r="Q76" i="1"/>
  <c r="P76" i="1"/>
  <c r="M76" i="1"/>
  <c r="K76" i="1"/>
  <c r="AH75" i="1"/>
  <c r="AG75" i="1"/>
  <c r="AF75" i="1"/>
  <c r="AD75" i="1"/>
  <c r="AC75" i="1"/>
  <c r="AA75" i="1"/>
  <c r="Z75" i="1"/>
  <c r="Y75" i="1"/>
  <c r="V75" i="1"/>
  <c r="U75" i="1"/>
  <c r="T75" i="1"/>
  <c r="R75" i="1"/>
  <c r="Q75" i="1"/>
  <c r="P75" i="1"/>
  <c r="M75" i="1"/>
  <c r="K75" i="1"/>
  <c r="AH74" i="1"/>
  <c r="AG74" i="1"/>
  <c r="AF74" i="1"/>
  <c r="AD74" i="1"/>
  <c r="AC74" i="1"/>
  <c r="AB74" i="1"/>
  <c r="AA74" i="1"/>
  <c r="Z74" i="1"/>
  <c r="Y74" i="1"/>
  <c r="V74" i="1"/>
  <c r="U74" i="1"/>
  <c r="T74" i="1"/>
  <c r="R74" i="1"/>
  <c r="Q74" i="1"/>
  <c r="P74" i="1"/>
  <c r="M74" i="1"/>
  <c r="K74" i="1"/>
  <c r="AH73" i="1"/>
  <c r="AG73" i="1"/>
  <c r="AF73" i="1"/>
  <c r="AD73" i="1"/>
  <c r="AC73" i="1"/>
  <c r="AB73" i="1"/>
  <c r="AA73" i="1"/>
  <c r="Z73" i="1"/>
  <c r="Y73" i="1"/>
  <c r="V73" i="1"/>
  <c r="U73" i="1"/>
  <c r="T73" i="1"/>
  <c r="R73" i="1"/>
  <c r="Q73" i="1"/>
  <c r="P73" i="1"/>
  <c r="M73" i="1"/>
  <c r="K73" i="1"/>
  <c r="AH72" i="1"/>
  <c r="AG72" i="1"/>
  <c r="AD72" i="1"/>
  <c r="AC72" i="1"/>
  <c r="AA72" i="1"/>
  <c r="Z72" i="1"/>
  <c r="Y72" i="1"/>
  <c r="V72" i="1"/>
  <c r="U72" i="1"/>
  <c r="T72" i="1"/>
  <c r="R72" i="1"/>
  <c r="Q72" i="1"/>
  <c r="P72" i="1"/>
  <c r="M72" i="1"/>
  <c r="K72" i="1"/>
  <c r="AH71" i="1"/>
  <c r="AG71" i="1"/>
  <c r="AD71" i="1"/>
  <c r="AC71" i="1"/>
  <c r="AA71" i="1"/>
  <c r="Z71" i="1"/>
  <c r="Y71" i="1"/>
  <c r="V71" i="1"/>
  <c r="U71" i="1"/>
  <c r="T71" i="1"/>
  <c r="R71" i="1"/>
  <c r="Q71" i="1"/>
  <c r="P71" i="1"/>
  <c r="M71" i="1"/>
  <c r="K71" i="1"/>
  <c r="AH70" i="1"/>
  <c r="AG70" i="1"/>
  <c r="AD70" i="1"/>
  <c r="AC70" i="1"/>
  <c r="AA70" i="1"/>
  <c r="Z70" i="1"/>
  <c r="Y70" i="1"/>
  <c r="V70" i="1"/>
  <c r="U70" i="1"/>
  <c r="T70" i="1"/>
  <c r="R70" i="1"/>
  <c r="Q70" i="1"/>
  <c r="P70" i="1"/>
  <c r="M70" i="1"/>
  <c r="K70" i="1"/>
  <c r="AH69" i="1"/>
  <c r="AG69" i="1"/>
  <c r="AF69" i="1"/>
  <c r="AD69" i="1"/>
  <c r="AC69" i="1"/>
  <c r="AA69" i="1"/>
  <c r="Z69" i="1"/>
  <c r="Y69" i="1"/>
  <c r="V69" i="1"/>
  <c r="U69" i="1"/>
  <c r="T69" i="1"/>
  <c r="R69" i="1"/>
  <c r="Q69" i="1"/>
  <c r="P69" i="1"/>
  <c r="M69" i="1"/>
  <c r="K69" i="1"/>
  <c r="AH68" i="1"/>
  <c r="AG68" i="1"/>
  <c r="AD68" i="1"/>
  <c r="AC68" i="1"/>
  <c r="AA68" i="1"/>
  <c r="Z68" i="1"/>
  <c r="Y68" i="1"/>
  <c r="V68" i="1"/>
  <c r="U68" i="1"/>
  <c r="T68" i="1"/>
  <c r="R68" i="1"/>
  <c r="Q68" i="1"/>
  <c r="P68" i="1"/>
  <c r="M68" i="1"/>
  <c r="K68" i="1"/>
  <c r="AH67" i="1"/>
  <c r="AG67" i="1"/>
  <c r="AD67" i="1"/>
  <c r="AC67" i="1"/>
  <c r="AA67" i="1"/>
  <c r="Y67" i="1"/>
  <c r="V67" i="1"/>
  <c r="U67" i="1"/>
  <c r="T67" i="1"/>
  <c r="R67" i="1"/>
  <c r="Q67" i="1"/>
  <c r="P67" i="1"/>
  <c r="M67" i="1"/>
  <c r="K67" i="1"/>
  <c r="AH66" i="1"/>
  <c r="AG66" i="1"/>
  <c r="AF66" i="1"/>
  <c r="AD66" i="1"/>
  <c r="AC66" i="1"/>
  <c r="AA66" i="1"/>
  <c r="Z66" i="1"/>
  <c r="Y66" i="1"/>
  <c r="V66" i="1"/>
  <c r="U66" i="1"/>
  <c r="T66" i="1"/>
  <c r="R66" i="1"/>
  <c r="Q66" i="1"/>
  <c r="P66" i="1"/>
  <c r="M66" i="1"/>
  <c r="K66" i="1"/>
  <c r="AH65" i="1"/>
  <c r="AG65" i="1"/>
  <c r="AF65" i="1"/>
  <c r="AD65" i="1"/>
  <c r="AC65" i="1"/>
  <c r="AA65" i="1"/>
  <c r="Z65" i="1"/>
  <c r="Y65" i="1"/>
  <c r="V65" i="1"/>
  <c r="U65" i="1"/>
  <c r="T65" i="1"/>
  <c r="R65" i="1"/>
  <c r="Q65" i="1"/>
  <c r="P65" i="1"/>
  <c r="M65" i="1"/>
  <c r="K65" i="1"/>
  <c r="AH64" i="1"/>
  <c r="AG64" i="1"/>
  <c r="AF64" i="1"/>
  <c r="AD64" i="1"/>
  <c r="AC64" i="1"/>
  <c r="AB64" i="1"/>
  <c r="AA64" i="1"/>
  <c r="Z64" i="1"/>
  <c r="Y64" i="1"/>
  <c r="V64" i="1"/>
  <c r="U64" i="1"/>
  <c r="T64" i="1"/>
  <c r="R64" i="1"/>
  <c r="Q64" i="1"/>
  <c r="P64" i="1"/>
  <c r="M64" i="1"/>
  <c r="K64" i="1"/>
  <c r="AH63" i="1"/>
  <c r="AG63" i="1"/>
  <c r="AF63" i="1"/>
  <c r="AC63" i="1"/>
  <c r="AB63" i="1"/>
  <c r="AA63" i="1"/>
  <c r="Z63" i="1"/>
  <c r="Y63" i="1"/>
  <c r="V63" i="1"/>
  <c r="U63" i="1"/>
  <c r="T63" i="1"/>
  <c r="R63" i="1"/>
  <c r="Q63" i="1"/>
  <c r="P63" i="1"/>
  <c r="M63" i="1"/>
  <c r="K63" i="1"/>
  <c r="AH62" i="1"/>
  <c r="AG62" i="1"/>
  <c r="AF62" i="1"/>
  <c r="AD62" i="1"/>
  <c r="AC62" i="1"/>
  <c r="AB62" i="1"/>
  <c r="AA62" i="1"/>
  <c r="Z62" i="1"/>
  <c r="Y62" i="1"/>
  <c r="V62" i="1"/>
  <c r="U62" i="1"/>
  <c r="T62" i="1"/>
  <c r="R62" i="1"/>
  <c r="Q62" i="1"/>
  <c r="P62" i="1"/>
  <c r="M62" i="1"/>
  <c r="K62" i="1"/>
  <c r="AH61" i="1"/>
  <c r="AG61" i="1"/>
  <c r="AF61" i="1"/>
  <c r="AD61" i="1"/>
  <c r="AC61" i="1"/>
  <c r="AB61" i="1"/>
  <c r="AA61" i="1"/>
  <c r="Z61" i="1"/>
  <c r="Y61" i="1"/>
  <c r="V61" i="1"/>
  <c r="U61" i="1"/>
  <c r="T61" i="1"/>
  <c r="R61" i="1"/>
  <c r="Q61" i="1"/>
  <c r="P61" i="1"/>
  <c r="M61" i="1"/>
  <c r="K61" i="1"/>
  <c r="AH60" i="1"/>
  <c r="AG60" i="1"/>
  <c r="AC60" i="1"/>
  <c r="AB60" i="1"/>
  <c r="AA60" i="1"/>
  <c r="Z60" i="1"/>
  <c r="Y60" i="1"/>
  <c r="V60" i="1"/>
  <c r="U60" i="1"/>
  <c r="T60" i="1"/>
  <c r="R60" i="1"/>
  <c r="Q60" i="1"/>
  <c r="P60" i="1"/>
  <c r="M60" i="1"/>
  <c r="K60" i="1"/>
  <c r="AH59" i="1"/>
  <c r="AG59" i="1"/>
  <c r="AC59" i="1"/>
  <c r="AB59" i="1"/>
  <c r="AA59" i="1"/>
  <c r="Y59" i="1"/>
  <c r="V59" i="1"/>
  <c r="U59" i="1"/>
  <c r="T59" i="1"/>
  <c r="R59" i="1"/>
  <c r="P59" i="1"/>
  <c r="M59" i="1"/>
  <c r="AH58" i="1"/>
  <c r="AG58" i="1"/>
  <c r="AC58" i="1"/>
  <c r="AB58" i="1"/>
  <c r="AA58" i="1"/>
  <c r="Y58" i="1"/>
  <c r="V58" i="1"/>
  <c r="U58" i="1"/>
  <c r="T58" i="1"/>
  <c r="R58" i="1"/>
  <c r="P58" i="1"/>
  <c r="M58" i="1"/>
  <c r="AH57" i="1"/>
  <c r="AG57" i="1"/>
  <c r="AC57" i="1"/>
  <c r="AA57" i="1"/>
  <c r="Z57" i="1"/>
  <c r="Y57" i="1"/>
  <c r="V57" i="1"/>
  <c r="U57" i="1"/>
  <c r="T57" i="1"/>
  <c r="R57" i="1"/>
  <c r="Q57" i="1"/>
  <c r="P57" i="1"/>
  <c r="M57" i="1"/>
  <c r="K57" i="1"/>
  <c r="AH56" i="1"/>
  <c r="AG56" i="1"/>
  <c r="AC56" i="1"/>
  <c r="AB56" i="1"/>
  <c r="AA56" i="1"/>
  <c r="Z56" i="1"/>
  <c r="Y56" i="1"/>
  <c r="V56" i="1"/>
  <c r="U56" i="1"/>
  <c r="T56" i="1"/>
  <c r="R56" i="1"/>
  <c r="Q56" i="1"/>
  <c r="P56" i="1"/>
  <c r="M56" i="1"/>
  <c r="K56" i="1"/>
  <c r="AH55" i="1"/>
  <c r="AG55" i="1"/>
  <c r="AC55" i="1"/>
  <c r="AB55" i="1"/>
  <c r="AA55" i="1"/>
  <c r="Z55" i="1"/>
  <c r="Y55" i="1"/>
  <c r="V55" i="1"/>
  <c r="U55" i="1"/>
  <c r="T55" i="1"/>
  <c r="R55" i="1"/>
  <c r="Q55" i="1"/>
  <c r="P55" i="1"/>
  <c r="M55" i="1"/>
  <c r="K55" i="1"/>
  <c r="AH54" i="1"/>
  <c r="AG54" i="1"/>
  <c r="AF54" i="1"/>
  <c r="AE54" i="1"/>
  <c r="AC54" i="1"/>
  <c r="AA54" i="1"/>
  <c r="Z54" i="1"/>
  <c r="Y54" i="1"/>
  <c r="V54" i="1"/>
  <c r="U54" i="1"/>
  <c r="T54" i="1"/>
  <c r="R54" i="1"/>
  <c r="Q54" i="1"/>
  <c r="P54" i="1"/>
  <c r="M54" i="1"/>
  <c r="K54" i="1"/>
  <c r="AH53" i="1"/>
  <c r="AG53" i="1"/>
  <c r="AC53" i="1"/>
  <c r="AA53" i="1"/>
  <c r="Z53" i="1"/>
  <c r="Y53" i="1"/>
  <c r="V53" i="1"/>
  <c r="U53" i="1"/>
  <c r="T53" i="1"/>
  <c r="R53" i="1"/>
  <c r="Q53" i="1"/>
  <c r="P53" i="1"/>
  <c r="M53" i="1"/>
  <c r="K53" i="1"/>
  <c r="AH52" i="1"/>
  <c r="AG52" i="1"/>
  <c r="AC52" i="1"/>
  <c r="AA52" i="1"/>
  <c r="Z52" i="1"/>
  <c r="Y52" i="1"/>
  <c r="V52" i="1"/>
  <c r="U52" i="1"/>
  <c r="T52" i="1"/>
  <c r="R52" i="1"/>
  <c r="Q52" i="1"/>
  <c r="P52" i="1"/>
  <c r="M52" i="1"/>
  <c r="K52" i="1"/>
  <c r="AH51" i="1"/>
  <c r="AG51" i="1"/>
  <c r="AF51" i="1"/>
  <c r="AE51" i="1"/>
  <c r="AC51" i="1"/>
  <c r="AA51" i="1"/>
  <c r="Z51" i="1"/>
  <c r="Y51" i="1"/>
  <c r="V51" i="1"/>
  <c r="U51" i="1"/>
  <c r="T51" i="1"/>
  <c r="R51" i="1"/>
  <c r="Q51" i="1"/>
  <c r="P51" i="1"/>
  <c r="M51" i="1"/>
  <c r="K51" i="1"/>
  <c r="AH50" i="1"/>
  <c r="AG50" i="1"/>
  <c r="AF50" i="1"/>
  <c r="AE50" i="1"/>
  <c r="AC50" i="1"/>
  <c r="AA50" i="1"/>
  <c r="Z50" i="1"/>
  <c r="Y50" i="1"/>
  <c r="V50" i="1"/>
  <c r="U50" i="1"/>
  <c r="T50" i="1"/>
  <c r="R50" i="1"/>
  <c r="Q50" i="1"/>
  <c r="P50" i="1"/>
  <c r="M50" i="1"/>
  <c r="K50" i="1"/>
  <c r="AH49" i="1"/>
  <c r="AG49" i="1"/>
  <c r="AF49" i="1"/>
  <c r="AE49" i="1"/>
  <c r="AC49" i="1"/>
  <c r="AA49" i="1"/>
  <c r="Z49" i="1"/>
  <c r="Y49" i="1"/>
  <c r="V49" i="1"/>
  <c r="U49" i="1"/>
  <c r="T49" i="1"/>
  <c r="R49" i="1"/>
  <c r="Q49" i="1"/>
  <c r="P49" i="1"/>
  <c r="M49" i="1"/>
  <c r="K49" i="1"/>
  <c r="AH48" i="1"/>
  <c r="AG48" i="1"/>
  <c r="AF48" i="1"/>
  <c r="AE48" i="1"/>
  <c r="AC48" i="1"/>
  <c r="AB48" i="1"/>
  <c r="AA48" i="1"/>
  <c r="Z48" i="1"/>
  <c r="Y48" i="1"/>
  <c r="V48" i="1"/>
  <c r="U48" i="1"/>
  <c r="T48" i="1"/>
  <c r="R48" i="1"/>
  <c r="Q48" i="1"/>
  <c r="P48" i="1"/>
  <c r="M48" i="1"/>
  <c r="K48" i="1"/>
  <c r="AH47" i="1"/>
  <c r="AG47" i="1"/>
  <c r="AF47" i="1"/>
  <c r="AE47" i="1"/>
  <c r="AC47" i="1"/>
  <c r="AA47" i="1"/>
  <c r="Z47" i="1"/>
  <c r="Y47" i="1"/>
  <c r="V47" i="1"/>
  <c r="U47" i="1"/>
  <c r="T47" i="1"/>
  <c r="R47" i="1"/>
  <c r="Q47" i="1"/>
  <c r="P47" i="1"/>
  <c r="M47" i="1"/>
  <c r="K47" i="1"/>
  <c r="AH46" i="1"/>
  <c r="AG46" i="1"/>
  <c r="AC46" i="1"/>
  <c r="AA46" i="1"/>
  <c r="Z46" i="1"/>
  <c r="Y46" i="1"/>
  <c r="V46" i="1"/>
  <c r="U46" i="1"/>
  <c r="T46" i="1"/>
  <c r="R46" i="1"/>
  <c r="Q46" i="1"/>
  <c r="P46" i="1"/>
  <c r="M46" i="1"/>
  <c r="K46" i="1"/>
  <c r="AH45" i="1"/>
  <c r="AG45" i="1"/>
  <c r="AC45" i="1"/>
  <c r="AA45" i="1"/>
  <c r="Z45" i="1"/>
  <c r="Y45" i="1"/>
  <c r="V45" i="1"/>
  <c r="U45" i="1"/>
  <c r="T45" i="1"/>
  <c r="R45" i="1"/>
  <c r="Q45" i="1"/>
  <c r="P45" i="1"/>
  <c r="M45" i="1"/>
  <c r="K45" i="1"/>
  <c r="AH44" i="1"/>
  <c r="AG44" i="1"/>
  <c r="AC44" i="1"/>
  <c r="AA44" i="1"/>
  <c r="Z44" i="1"/>
  <c r="Y44" i="1"/>
  <c r="V44" i="1"/>
  <c r="U44" i="1"/>
  <c r="T44" i="1"/>
  <c r="R44" i="1"/>
  <c r="Q44" i="1"/>
  <c r="P44" i="1"/>
  <c r="M44" i="1"/>
  <c r="K44" i="1"/>
  <c r="AH43" i="1"/>
  <c r="AG43" i="1"/>
  <c r="AC43" i="1"/>
  <c r="AA43" i="1"/>
  <c r="Z43" i="1"/>
  <c r="Y43" i="1"/>
  <c r="V43" i="1"/>
  <c r="U43" i="1"/>
  <c r="T43" i="1"/>
  <c r="R43" i="1"/>
  <c r="Q43" i="1"/>
  <c r="P43" i="1"/>
  <c r="M43" i="1"/>
  <c r="K43" i="1"/>
  <c r="AH42" i="1"/>
  <c r="AG42" i="1"/>
  <c r="AF42" i="1"/>
  <c r="AE42" i="1"/>
  <c r="AC42" i="1"/>
  <c r="AA42" i="1"/>
  <c r="Z42" i="1"/>
  <c r="Y42" i="1"/>
  <c r="V42" i="1"/>
  <c r="U42" i="1"/>
  <c r="T42" i="1"/>
  <c r="R42" i="1"/>
  <c r="Q42" i="1"/>
  <c r="P42" i="1"/>
  <c r="M42" i="1"/>
  <c r="K42" i="1"/>
  <c r="AH41" i="1"/>
  <c r="AG41" i="1"/>
  <c r="AF41" i="1"/>
  <c r="AD41" i="1"/>
  <c r="AC41" i="1"/>
  <c r="AA41" i="1"/>
  <c r="Z41" i="1"/>
  <c r="Y41" i="1"/>
  <c r="V41" i="1"/>
  <c r="U41" i="1"/>
  <c r="T41" i="1"/>
  <c r="R41" i="1"/>
  <c r="Q41" i="1"/>
  <c r="P41" i="1"/>
  <c r="M41" i="1"/>
  <c r="K41" i="1"/>
  <c r="AH40" i="1"/>
  <c r="AG40" i="1"/>
  <c r="AF40" i="1"/>
  <c r="AD40" i="1"/>
  <c r="AC40" i="1"/>
  <c r="AB40" i="1"/>
  <c r="AA40" i="1"/>
  <c r="Z40" i="1"/>
  <c r="Y40" i="1"/>
  <c r="V40" i="1"/>
  <c r="U40" i="1"/>
  <c r="T40" i="1"/>
  <c r="R40" i="1"/>
  <c r="Q40" i="1"/>
  <c r="P40" i="1"/>
  <c r="M40" i="1"/>
  <c r="K40" i="1"/>
  <c r="AH39" i="1"/>
  <c r="AG39" i="1"/>
  <c r="AF39" i="1"/>
  <c r="AD39" i="1"/>
  <c r="AC39" i="1"/>
  <c r="AB39" i="1"/>
  <c r="AA39" i="1"/>
  <c r="Z39" i="1"/>
  <c r="Y39" i="1"/>
  <c r="V39" i="1"/>
  <c r="U39" i="1"/>
  <c r="T39" i="1"/>
  <c r="R39" i="1"/>
  <c r="Q39" i="1"/>
  <c r="P39" i="1"/>
  <c r="M39" i="1"/>
  <c r="K39" i="1"/>
  <c r="AH38" i="1"/>
  <c r="AG38" i="1"/>
  <c r="AD38" i="1"/>
  <c r="AC38" i="1"/>
  <c r="AA38" i="1"/>
  <c r="Z38" i="1"/>
  <c r="Y38" i="1"/>
  <c r="V38" i="1"/>
  <c r="U38" i="1"/>
  <c r="T38" i="1"/>
  <c r="R38" i="1"/>
  <c r="Q38" i="1"/>
  <c r="P38" i="1"/>
  <c r="M38" i="1"/>
  <c r="K38" i="1"/>
  <c r="AH37" i="1"/>
  <c r="AG37" i="1"/>
  <c r="AD37" i="1"/>
  <c r="AC37" i="1"/>
  <c r="AA37" i="1"/>
  <c r="Z37" i="1"/>
  <c r="Y37" i="1"/>
  <c r="V37" i="1"/>
  <c r="U37" i="1"/>
  <c r="T37" i="1"/>
  <c r="R37" i="1"/>
  <c r="Q37" i="1"/>
  <c r="P37" i="1"/>
  <c r="M37" i="1"/>
  <c r="K37" i="1"/>
  <c r="AH36" i="1"/>
  <c r="AG36" i="1"/>
  <c r="AD36" i="1"/>
  <c r="AC36" i="1"/>
  <c r="AA36" i="1"/>
  <c r="Z36" i="1"/>
  <c r="Y36" i="1"/>
  <c r="V36" i="1"/>
  <c r="U36" i="1"/>
  <c r="T36" i="1"/>
  <c r="R36" i="1"/>
  <c r="Q36" i="1"/>
  <c r="P36" i="1"/>
  <c r="M36" i="1"/>
  <c r="K36" i="1"/>
  <c r="AH35" i="1"/>
  <c r="AG35" i="1"/>
  <c r="AF35" i="1"/>
  <c r="AD35" i="1"/>
  <c r="AC35" i="1"/>
  <c r="AA35" i="1"/>
  <c r="Z35" i="1"/>
  <c r="Y35" i="1"/>
  <c r="V35" i="1"/>
  <c r="U35" i="1"/>
  <c r="T35" i="1"/>
  <c r="R35" i="1"/>
  <c r="Q35" i="1"/>
  <c r="P35" i="1"/>
  <c r="M35" i="1"/>
  <c r="K35" i="1"/>
  <c r="AH34" i="1"/>
  <c r="AG34" i="1"/>
  <c r="AD34" i="1"/>
  <c r="AC34" i="1"/>
  <c r="AA34" i="1"/>
  <c r="Z34" i="1"/>
  <c r="Y34" i="1"/>
  <c r="V34" i="1"/>
  <c r="U34" i="1"/>
  <c r="T34" i="1"/>
  <c r="R34" i="1"/>
  <c r="Q34" i="1"/>
  <c r="P34" i="1"/>
  <c r="M34" i="1"/>
  <c r="K34" i="1"/>
  <c r="AH33" i="1"/>
  <c r="AG33" i="1"/>
  <c r="AD33" i="1"/>
  <c r="AC33" i="1"/>
  <c r="AA33" i="1"/>
  <c r="Y33" i="1"/>
  <c r="V33" i="1"/>
  <c r="U33" i="1"/>
  <c r="T33" i="1"/>
  <c r="R33" i="1"/>
  <c r="Q33" i="1"/>
  <c r="P33" i="1"/>
  <c r="M33" i="1"/>
  <c r="K33" i="1"/>
  <c r="AH32" i="1"/>
  <c r="AG32" i="1"/>
  <c r="AF32" i="1"/>
  <c r="AD32" i="1"/>
  <c r="AC32" i="1"/>
  <c r="AA32" i="1"/>
  <c r="Z32" i="1"/>
  <c r="Y32" i="1"/>
  <c r="V32" i="1"/>
  <c r="U32" i="1"/>
  <c r="T32" i="1"/>
  <c r="R32" i="1"/>
  <c r="Q32" i="1"/>
  <c r="P32" i="1"/>
  <c r="M32" i="1"/>
  <c r="K32" i="1"/>
  <c r="AH31" i="1"/>
  <c r="AG31" i="1"/>
  <c r="AF31" i="1"/>
  <c r="AD31" i="1"/>
  <c r="AC31" i="1"/>
  <c r="AA31" i="1"/>
  <c r="Z31" i="1"/>
  <c r="Y31" i="1"/>
  <c r="V31" i="1"/>
  <c r="U31" i="1"/>
  <c r="T31" i="1"/>
  <c r="R31" i="1"/>
  <c r="Q31" i="1"/>
  <c r="P31" i="1"/>
  <c r="M31" i="1"/>
  <c r="K31" i="1"/>
  <c r="AH30" i="1"/>
  <c r="AG30" i="1"/>
  <c r="AF30" i="1"/>
  <c r="AD30" i="1"/>
  <c r="AC30" i="1"/>
  <c r="AB30" i="1"/>
  <c r="AA30" i="1"/>
  <c r="Z30" i="1"/>
  <c r="Y30" i="1"/>
  <c r="V30" i="1"/>
  <c r="U30" i="1"/>
  <c r="T30" i="1"/>
  <c r="R30" i="1"/>
  <c r="Q30" i="1"/>
  <c r="P30" i="1"/>
  <c r="M30" i="1"/>
  <c r="K30" i="1"/>
  <c r="AH29" i="1"/>
  <c r="AG29" i="1"/>
  <c r="AF29" i="1"/>
  <c r="AD29" i="1"/>
  <c r="AC29" i="1"/>
  <c r="AB29" i="1"/>
  <c r="AA29" i="1"/>
  <c r="Z29" i="1"/>
  <c r="Y29" i="1"/>
  <c r="V29" i="1"/>
  <c r="U29" i="1"/>
  <c r="T29" i="1"/>
  <c r="R29" i="1"/>
  <c r="Q29" i="1"/>
  <c r="P29" i="1"/>
  <c r="M29" i="1"/>
  <c r="K29" i="1"/>
  <c r="AH28" i="1"/>
  <c r="AG28" i="1"/>
  <c r="AC28" i="1"/>
  <c r="AA28" i="1"/>
  <c r="Z28" i="1"/>
  <c r="Y28" i="1"/>
  <c r="V28" i="1"/>
  <c r="U28" i="1"/>
  <c r="T28" i="1"/>
  <c r="R28" i="1"/>
  <c r="Q28" i="1"/>
  <c r="P28" i="1"/>
  <c r="M28" i="1"/>
  <c r="K28" i="1"/>
  <c r="AH27" i="1"/>
  <c r="AG27" i="1"/>
  <c r="AC27" i="1"/>
  <c r="AA27" i="1"/>
  <c r="Z27" i="1"/>
  <c r="Y27" i="1"/>
  <c r="V27" i="1"/>
  <c r="U27" i="1"/>
  <c r="T27" i="1"/>
  <c r="R27" i="1"/>
  <c r="Q27" i="1"/>
  <c r="P27" i="1"/>
  <c r="M27" i="1"/>
  <c r="K27" i="1"/>
  <c r="AH26" i="1"/>
  <c r="AG26" i="1"/>
  <c r="AF26" i="1"/>
  <c r="AE26" i="1"/>
  <c r="AC26" i="1"/>
  <c r="AA26" i="1"/>
  <c r="Z26" i="1"/>
  <c r="Y26" i="1"/>
  <c r="V26" i="1"/>
  <c r="U26" i="1"/>
  <c r="T26" i="1"/>
  <c r="R26" i="1"/>
  <c r="Q26" i="1"/>
  <c r="P26" i="1"/>
  <c r="M26" i="1"/>
  <c r="K26" i="1"/>
  <c r="AH25" i="1"/>
  <c r="AG25" i="1"/>
  <c r="AF25" i="1"/>
  <c r="AE25" i="1"/>
  <c r="AC25" i="1"/>
  <c r="AA25" i="1"/>
  <c r="Z25" i="1"/>
  <c r="Y25" i="1"/>
  <c r="V25" i="1"/>
  <c r="U25" i="1"/>
  <c r="T25" i="1"/>
  <c r="R25" i="1"/>
  <c r="Q25" i="1"/>
  <c r="P25" i="1"/>
  <c r="M25" i="1"/>
  <c r="K25" i="1"/>
  <c r="AH24" i="1"/>
  <c r="AG24" i="1"/>
  <c r="AF24" i="1"/>
  <c r="AE24" i="1"/>
  <c r="AC24" i="1"/>
  <c r="AA24" i="1"/>
  <c r="Z24" i="1"/>
  <c r="Y24" i="1"/>
  <c r="V24" i="1"/>
  <c r="U24" i="1"/>
  <c r="T24" i="1"/>
  <c r="R24" i="1"/>
  <c r="Q24" i="1"/>
  <c r="P24" i="1"/>
  <c r="M24" i="1"/>
  <c r="K24" i="1"/>
  <c r="AH23" i="1"/>
  <c r="AG23" i="1"/>
  <c r="AF23" i="1"/>
  <c r="AE23" i="1"/>
  <c r="AC23" i="1"/>
  <c r="AA23" i="1"/>
  <c r="Z23" i="1"/>
  <c r="Y23" i="1"/>
  <c r="V23" i="1"/>
  <c r="U23" i="1"/>
  <c r="T23" i="1"/>
  <c r="R23" i="1"/>
  <c r="Q23" i="1"/>
  <c r="P23" i="1"/>
  <c r="M23" i="1"/>
  <c r="K23" i="1"/>
  <c r="AH22" i="1"/>
  <c r="AG22" i="1"/>
  <c r="AF22" i="1"/>
  <c r="AE22" i="1"/>
  <c r="AC22" i="1"/>
  <c r="AB22" i="1"/>
  <c r="AA22" i="1"/>
  <c r="Z22" i="1"/>
  <c r="Y22" i="1"/>
  <c r="V22" i="1"/>
  <c r="U22" i="1"/>
  <c r="T22" i="1"/>
  <c r="R22" i="1"/>
  <c r="Q22" i="1"/>
  <c r="P22" i="1"/>
  <c r="M22" i="1"/>
  <c r="K22" i="1"/>
  <c r="AH21" i="1"/>
  <c r="AG21" i="1"/>
  <c r="AF21" i="1"/>
  <c r="AE21" i="1"/>
  <c r="AC21" i="1"/>
  <c r="AB21" i="1"/>
  <c r="AA21" i="1"/>
  <c r="Z21" i="1"/>
  <c r="Y21" i="1"/>
  <c r="V21" i="1"/>
  <c r="U21" i="1"/>
  <c r="T21" i="1"/>
  <c r="R21" i="1"/>
  <c r="Q21" i="1"/>
  <c r="P21" i="1"/>
  <c r="M21" i="1"/>
  <c r="K21" i="1"/>
  <c r="AH20" i="1"/>
  <c r="AG20" i="1"/>
  <c r="AC20" i="1"/>
  <c r="AA20" i="1"/>
  <c r="Z20" i="1"/>
  <c r="Y20" i="1"/>
  <c r="V20" i="1"/>
  <c r="U20" i="1"/>
  <c r="T20" i="1"/>
  <c r="R20" i="1"/>
  <c r="Q20" i="1"/>
  <c r="P20" i="1"/>
  <c r="M20" i="1"/>
  <c r="K20" i="1"/>
  <c r="AH19" i="1"/>
  <c r="AG19" i="1"/>
  <c r="AC19" i="1"/>
  <c r="AA19" i="1"/>
  <c r="Z19" i="1"/>
  <c r="Y19" i="1"/>
  <c r="V19" i="1"/>
  <c r="U19" i="1"/>
  <c r="T19" i="1"/>
  <c r="R19" i="1"/>
  <c r="Q19" i="1"/>
  <c r="P19" i="1"/>
  <c r="M19" i="1"/>
  <c r="K19" i="1"/>
  <c r="AH18" i="1"/>
  <c r="AG18" i="1"/>
  <c r="AC18" i="1"/>
  <c r="AA18" i="1"/>
  <c r="Z18" i="1"/>
  <c r="Y18" i="1"/>
  <c r="V18" i="1"/>
  <c r="U18" i="1"/>
  <c r="T18" i="1"/>
  <c r="R18" i="1"/>
  <c r="Q18" i="1"/>
  <c r="P18" i="1"/>
  <c r="M18" i="1"/>
  <c r="K18" i="1"/>
  <c r="AH17" i="1"/>
  <c r="AG17" i="1"/>
  <c r="AC17" i="1"/>
  <c r="AA17" i="1"/>
  <c r="Z17" i="1"/>
  <c r="Y17" i="1"/>
  <c r="V17" i="1"/>
  <c r="U17" i="1"/>
  <c r="T17" i="1"/>
  <c r="R17" i="1"/>
  <c r="Q17" i="1"/>
  <c r="P17" i="1"/>
  <c r="M17" i="1"/>
  <c r="K17" i="1"/>
  <c r="AH16" i="1"/>
  <c r="AG16" i="1"/>
  <c r="AF16" i="1"/>
  <c r="AE16" i="1"/>
  <c r="AC16" i="1"/>
  <c r="AA16" i="1"/>
  <c r="Z16" i="1"/>
  <c r="Y16" i="1"/>
  <c r="V16" i="1"/>
  <c r="U16" i="1"/>
  <c r="T16" i="1"/>
  <c r="R16" i="1"/>
  <c r="Q16" i="1"/>
  <c r="P16" i="1"/>
  <c r="M16" i="1"/>
  <c r="K16" i="1"/>
  <c r="AH15" i="1"/>
  <c r="AG15" i="1"/>
  <c r="AF15" i="1"/>
  <c r="AD15" i="1"/>
  <c r="AC15" i="1"/>
  <c r="AA15" i="1"/>
  <c r="Z15" i="1"/>
  <c r="Y15" i="1"/>
  <c r="V15" i="1"/>
  <c r="U15" i="1"/>
  <c r="T15" i="1"/>
  <c r="R15" i="1"/>
  <c r="Q15" i="1"/>
  <c r="P15" i="1"/>
  <c r="M15" i="1"/>
  <c r="K15" i="1"/>
  <c r="AH14" i="1"/>
  <c r="AG14" i="1"/>
  <c r="AF14" i="1"/>
  <c r="AD14" i="1"/>
  <c r="AC14" i="1"/>
  <c r="AB14" i="1"/>
  <c r="AA14" i="1"/>
  <c r="Z14" i="1"/>
  <c r="Y14" i="1"/>
  <c r="V14" i="1"/>
  <c r="U14" i="1"/>
  <c r="T14" i="1"/>
  <c r="R14" i="1"/>
  <c r="Q14" i="1"/>
  <c r="P14" i="1"/>
  <c r="M14" i="1"/>
  <c r="K14" i="1"/>
  <c r="AH13" i="1"/>
  <c r="AG13" i="1"/>
  <c r="AF13" i="1"/>
  <c r="AD13" i="1"/>
  <c r="AC13" i="1"/>
  <c r="AB13" i="1"/>
  <c r="AA13" i="1"/>
  <c r="Z13" i="1"/>
  <c r="Y13" i="1"/>
  <c r="V13" i="1"/>
  <c r="U13" i="1"/>
  <c r="T13" i="1"/>
  <c r="R13" i="1"/>
  <c r="Q13" i="1"/>
  <c r="P13" i="1"/>
  <c r="M13" i="1"/>
  <c r="K13" i="1"/>
  <c r="AH12" i="1"/>
  <c r="AG12" i="1"/>
  <c r="AD12" i="1"/>
  <c r="AC12" i="1"/>
  <c r="AA12" i="1"/>
  <c r="Z12" i="1"/>
  <c r="Y12" i="1"/>
  <c r="V12" i="1"/>
  <c r="U12" i="1"/>
  <c r="T12" i="1"/>
  <c r="R12" i="1"/>
  <c r="Q12" i="1"/>
  <c r="P12" i="1"/>
  <c r="M12" i="1"/>
  <c r="K12" i="1"/>
  <c r="AH11" i="1"/>
  <c r="AG11" i="1"/>
  <c r="AD11" i="1"/>
  <c r="AC11" i="1"/>
  <c r="AA11" i="1"/>
  <c r="Z11" i="1"/>
  <c r="Y11" i="1"/>
  <c r="V11" i="1"/>
  <c r="U11" i="1"/>
  <c r="T11" i="1"/>
  <c r="R11" i="1"/>
  <c r="Q11" i="1"/>
  <c r="P11" i="1"/>
  <c r="M11" i="1"/>
  <c r="K11" i="1"/>
  <c r="AH10" i="1"/>
  <c r="AG10" i="1"/>
  <c r="AD10" i="1"/>
  <c r="AC10" i="1"/>
  <c r="AA10" i="1"/>
  <c r="Z10" i="1"/>
  <c r="Y10" i="1"/>
  <c r="V10" i="1"/>
  <c r="U10" i="1"/>
  <c r="T10" i="1"/>
  <c r="R10" i="1"/>
  <c r="Q10" i="1"/>
  <c r="P10" i="1"/>
  <c r="M10" i="1"/>
  <c r="K10" i="1"/>
  <c r="AH9" i="1"/>
  <c r="AG9" i="1"/>
  <c r="AF9" i="1"/>
  <c r="AD9" i="1"/>
  <c r="AC9" i="1"/>
  <c r="AA9" i="1"/>
  <c r="Z9" i="1"/>
  <c r="Y9" i="1"/>
  <c r="V9" i="1"/>
  <c r="U9" i="1"/>
  <c r="T9" i="1"/>
  <c r="R9" i="1"/>
  <c r="Q9" i="1"/>
  <c r="P9" i="1"/>
  <c r="M9" i="1"/>
  <c r="K9" i="1"/>
  <c r="AH8" i="1"/>
  <c r="AG8" i="1"/>
  <c r="AD8" i="1"/>
  <c r="AC8" i="1"/>
  <c r="AA8" i="1"/>
  <c r="Z8" i="1"/>
  <c r="Y8" i="1"/>
  <c r="V8" i="1"/>
  <c r="U8" i="1"/>
  <c r="T8" i="1"/>
  <c r="R8" i="1"/>
  <c r="Q8" i="1"/>
  <c r="P8" i="1"/>
  <c r="M8" i="1"/>
  <c r="K8" i="1"/>
  <c r="AH7" i="1"/>
  <c r="AG7" i="1"/>
  <c r="AD7" i="1"/>
  <c r="AC7" i="1"/>
  <c r="AA7" i="1"/>
  <c r="Y7" i="1"/>
  <c r="V7" i="1"/>
  <c r="U7" i="1"/>
  <c r="T7" i="1"/>
  <c r="R7" i="1"/>
  <c r="Q7" i="1"/>
  <c r="P7" i="1"/>
  <c r="M7" i="1"/>
  <c r="K7" i="1"/>
  <c r="AH6" i="1"/>
  <c r="AG6" i="1"/>
  <c r="AF6" i="1"/>
  <c r="AD6" i="1"/>
  <c r="AC6" i="1"/>
  <c r="AA6" i="1"/>
  <c r="Z6" i="1"/>
  <c r="Y6" i="1"/>
  <c r="V6" i="1"/>
  <c r="U6" i="1"/>
  <c r="T6" i="1"/>
  <c r="R6" i="1"/>
  <c r="Q6" i="1"/>
  <c r="P6" i="1"/>
  <c r="M6" i="1"/>
  <c r="K6" i="1"/>
  <c r="AH5" i="1"/>
  <c r="AG5" i="1"/>
  <c r="AF5" i="1"/>
  <c r="AD5" i="1"/>
  <c r="AC5" i="1"/>
  <c r="AA5" i="1"/>
  <c r="Z5" i="1"/>
  <c r="Y5" i="1"/>
  <c r="V5" i="1"/>
  <c r="U5" i="1"/>
  <c r="T5" i="1"/>
  <c r="R5" i="1"/>
  <c r="Q5" i="1"/>
  <c r="P5" i="1"/>
  <c r="M5" i="1"/>
  <c r="K5" i="1"/>
  <c r="AH4" i="1"/>
  <c r="AG4" i="1"/>
  <c r="AF4" i="1"/>
  <c r="AD4" i="1"/>
  <c r="AC4" i="1"/>
  <c r="AB4" i="1"/>
  <c r="AA4" i="1"/>
  <c r="Z4" i="1"/>
  <c r="Y4" i="1"/>
  <c r="V4" i="1"/>
  <c r="U4" i="1"/>
  <c r="T4" i="1"/>
  <c r="R4" i="1"/>
  <c r="Q4" i="1"/>
  <c r="P4" i="1"/>
  <c r="M4" i="1"/>
  <c r="K4" i="1"/>
  <c r="AH3" i="1"/>
  <c r="AG3" i="1"/>
  <c r="AF3" i="1"/>
  <c r="AD3" i="1"/>
  <c r="AC3" i="1"/>
  <c r="AB3" i="1"/>
  <c r="AA3" i="1"/>
  <c r="Z3" i="1"/>
  <c r="Y3" i="1"/>
  <c r="V3" i="1"/>
  <c r="U3" i="1"/>
  <c r="T3" i="1"/>
  <c r="R3" i="1"/>
  <c r="Q3" i="1"/>
  <c r="P3" i="1"/>
  <c r="M3" i="1"/>
  <c r="K3" i="1"/>
  <c r="AH2" i="1"/>
  <c r="AG2" i="1"/>
  <c r="AC2" i="1"/>
  <c r="AA2" i="1"/>
  <c r="Z2" i="1"/>
  <c r="Y2" i="1"/>
  <c r="V2" i="1"/>
  <c r="U2" i="1"/>
  <c r="T2" i="1"/>
  <c r="R2" i="1"/>
  <c r="Q2" i="1"/>
  <c r="P2" i="1"/>
  <c r="M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Unknown User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全新链接上市销售2个月内算新品（当月下旬上市，接下来2个月都算新品）；原相同产品增加不同颜色变体SKU不算新品；同类新品上市即合并原来同类产品链接做变体只算上市首月为新品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A1" authorId="1" shapeId="0" xr:uid="{00000000-0006-0000-0000-000003000000}">
      <text>
        <r>
          <rPr>
            <sz val="9"/>
            <color rgb="FF000000"/>
            <rFont val="宋体"/>
            <charset val="134"/>
          </rPr>
          <t>=（单位头程+入库费）*销量，单位人民币</t>
        </r>
        <r>
          <rPr>
            <sz val="10"/>
            <rFont val="宋体"/>
            <charset val="134"/>
          </rPr>
          <t xml:space="preserve">
  - Roy L.</t>
        </r>
      </text>
    </comment>
  </commentList>
</comments>
</file>

<file path=xl/sharedStrings.xml><?xml version="1.0" encoding="utf-8"?>
<sst xmlns="http://schemas.openxmlformats.org/spreadsheetml/2006/main" count="1526" uniqueCount="100">
  <si>
    <t>部门</t>
  </si>
  <si>
    <t>负责人</t>
  </si>
  <si>
    <t>月份</t>
  </si>
  <si>
    <t>产品-站点</t>
  </si>
  <si>
    <t>品牌</t>
  </si>
  <si>
    <t>产品类型</t>
  </si>
  <si>
    <t>是否新品</t>
  </si>
  <si>
    <t>产品优先级</t>
  </si>
  <si>
    <t>预估Amazon销量</t>
  </si>
  <si>
    <t>销售单价
（外币）</t>
  </si>
  <si>
    <t>销售单价
（RMB）</t>
  </si>
  <si>
    <t>汇率</t>
  </si>
  <si>
    <t>销售总收入（RMB）</t>
  </si>
  <si>
    <t>退款率</t>
  </si>
  <si>
    <t>FBA/FBM尾程费用（外币）</t>
  </si>
  <si>
    <t>平台总支出
（RMB）</t>
  </si>
  <si>
    <t>占比</t>
  </si>
  <si>
    <t>站内广告费合计
（RMB）</t>
  </si>
  <si>
    <t>站内广告费占比
（广告+活动+ACC等)</t>
  </si>
  <si>
    <t>平台毛利
(RMB)</t>
  </si>
  <si>
    <t>站外营销费用</t>
  </si>
  <si>
    <t>站外营销占比
（测评+联盟营销+红人+站外Deals等)</t>
  </si>
  <si>
    <t>采购单价（RMB）</t>
  </si>
  <si>
    <t>产品总成本
（RMB）</t>
  </si>
  <si>
    <t>产品成本占比</t>
  </si>
  <si>
    <t>总运费
（头程+入库费用RMB)</t>
  </si>
  <si>
    <t>总运费占比</t>
  </si>
  <si>
    <t>海外仓费用+其他费用
（RMB)</t>
  </si>
  <si>
    <t>VAT费用
（RMB)</t>
  </si>
  <si>
    <t>VAT占比</t>
  </si>
  <si>
    <t>总毛利额
(RMB)</t>
  </si>
  <si>
    <t>毛利率</t>
  </si>
  <si>
    <t>青岛亚马逊</t>
  </si>
  <si>
    <t>范雪聪</t>
  </si>
  <si>
    <t>212足疗机-美国</t>
  </si>
  <si>
    <t>TISSCARE</t>
  </si>
  <si>
    <t>外采</t>
  </si>
  <si>
    <t>A</t>
  </si>
  <si>
    <t>郑雅楠</t>
  </si>
  <si>
    <t>807足疗机</t>
  </si>
  <si>
    <t>周琪</t>
  </si>
  <si>
    <t>折叠单杆</t>
  </si>
  <si>
    <t>Safly Fun</t>
  </si>
  <si>
    <t>S</t>
  </si>
  <si>
    <t>折叠单杆+瑜伽垫</t>
  </si>
  <si>
    <t>折叠单杆+蹦床</t>
  </si>
  <si>
    <t>赵本萍</t>
  </si>
  <si>
    <t>方管单杆</t>
  </si>
  <si>
    <t>方管单杆+六折垫</t>
  </si>
  <si>
    <t>Mini方管单杆</t>
  </si>
  <si>
    <t>充气体操垫-1.2mx2mx10cm</t>
  </si>
  <si>
    <t>充气体操垫-1.2mx3mx10cm</t>
  </si>
  <si>
    <t>充气体操垫-1.2mx3mx20cm</t>
  </si>
  <si>
    <t>健身蹦床-40in</t>
  </si>
  <si>
    <t>健身蹦床-45in</t>
  </si>
  <si>
    <t>健身蹦床-50in</t>
  </si>
  <si>
    <t>深圳亚马逊</t>
  </si>
  <si>
    <t>麦欣茵</t>
  </si>
  <si>
    <t>大甩脂机-欧洲</t>
  </si>
  <si>
    <t>郑伯见</t>
  </si>
  <si>
    <t>现款迷你硬壳款-美国</t>
  </si>
  <si>
    <t>大甩脂机灰色-美国</t>
  </si>
  <si>
    <t>大甩脂机黑色-美国</t>
  </si>
  <si>
    <t>大甩脂机绿色（带蓝牙）-美国</t>
  </si>
  <si>
    <t>孙祎玄</t>
  </si>
  <si>
    <t>212足疗机-欧洲</t>
  </si>
  <si>
    <t>甩脂机-英国</t>
  </si>
  <si>
    <t>蹦床-欧洲</t>
  </si>
  <si>
    <t>C</t>
  </si>
  <si>
    <t>低价足疗机-欧洲</t>
  </si>
  <si>
    <t>B</t>
  </si>
  <si>
    <t>现款迷你硬壳款-欧洲</t>
  </si>
  <si>
    <t>吴明杰</t>
  </si>
  <si>
    <t>mini甩脂机-英国</t>
  </si>
  <si>
    <t>水面清洁机器人Pura V12</t>
  </si>
  <si>
    <t>Yousky</t>
  </si>
  <si>
    <t>新品</t>
  </si>
  <si>
    <t>Roy</t>
  </si>
  <si>
    <t>Spa手持机T10</t>
  </si>
  <si>
    <t>自研自产</t>
  </si>
  <si>
    <t>Spa手持机T11</t>
  </si>
  <si>
    <t>张明超</t>
  </si>
  <si>
    <t>清洁手持机-H10</t>
  </si>
  <si>
    <t>清洁手持机-H11</t>
  </si>
  <si>
    <t>隋子研</t>
  </si>
  <si>
    <t>伸缩杆12ft</t>
  </si>
  <si>
    <t>伸缩杆15ft</t>
  </si>
  <si>
    <t>212足疗机Mini款</t>
  </si>
  <si>
    <t>膝盖按摩仪 1个装-美国</t>
  </si>
  <si>
    <t>膝盖按摩仪 2个装-美国</t>
  </si>
  <si>
    <t>隋子妍</t>
  </si>
  <si>
    <t>头部按摩仪-在售款-美国</t>
  </si>
  <si>
    <t>清洁手持机-H11 Pro</t>
  </si>
  <si>
    <t>水面款K10-清洁机器人</t>
  </si>
  <si>
    <t>按摩靠垫</t>
  </si>
  <si>
    <t>漂浮式式撇渣器S20-清洁机器人</t>
  </si>
  <si>
    <t>落叶清洁机L10 Mini</t>
  </si>
  <si>
    <t>落叶清洁机L10</t>
  </si>
  <si>
    <t>落叶清洁机L11</t>
  </si>
  <si>
    <t>路径版机器人C20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</si>
</sst>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￥&quot;#,##0.00;&quot;￥&quot;\-#,##0.00"/>
    <numFmt numFmtId="181" formatCode="&quot;US$&quot;#,##0.00;&quot;US$&quot;\-#,##0.00"/>
    <numFmt numFmtId="182" formatCode="0.00_ "/>
    <numFmt numFmtId="183" formatCode="0.00_);[Red]\(0.00\)"/>
    <numFmt numFmtId="184" formatCode="0.0%"/>
    <numFmt numFmtId="185" formatCode="0.0_ "/>
  </numFmts>
  <fonts count="1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  <font>
      <sz val="9"/>
      <name val="等线"/>
      <family val="4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81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8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2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" fontId="3" fillId="5" borderId="3" xfId="0" applyNumberFormat="1" applyFont="1" applyFill="1" applyBorder="1" applyAlignment="1">
      <alignment horizontal="center" vertical="center"/>
    </xf>
    <xf numFmtId="183" fontId="3" fillId="6" borderId="3" xfId="0" applyNumberFormat="1" applyFont="1" applyFill="1" applyBorder="1" applyAlignment="1">
      <alignment horizontal="center" vertical="center"/>
    </xf>
    <xf numFmtId="184" fontId="3" fillId="5" borderId="3" xfId="0" applyNumberFormat="1" applyFont="1" applyFill="1" applyBorder="1" applyAlignment="1">
      <alignment horizontal="center" vertical="center"/>
    </xf>
    <xf numFmtId="185" fontId="3" fillId="5" borderId="3" xfId="0" applyNumberFormat="1" applyFont="1" applyFill="1" applyBorder="1" applyAlignment="1">
      <alignment horizontal="center" vertical="center"/>
    </xf>
    <xf numFmtId="9" fontId="3" fillId="5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/>
    </xf>
    <xf numFmtId="181" fontId="5" fillId="5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4" fontId="3" fillId="6" borderId="3" xfId="0" applyNumberFormat="1" applyFont="1" applyFill="1" applyBorder="1" applyAlignment="1">
      <alignment horizontal="center" vertical="center"/>
    </xf>
    <xf numFmtId="184" fontId="3" fillId="6" borderId="3" xfId="0" applyNumberFormat="1" applyFont="1" applyFill="1" applyBorder="1" applyAlignment="1">
      <alignment horizontal="center" vertical="center"/>
    </xf>
    <xf numFmtId="185" fontId="3" fillId="6" borderId="3" xfId="0" applyNumberFormat="1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10" fontId="3" fillId="6" borderId="3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4" fontId="3" fillId="8" borderId="3" xfId="0" applyNumberFormat="1" applyFont="1" applyFill="1" applyBorder="1" applyAlignment="1">
      <alignment horizontal="center" vertical="center"/>
    </xf>
    <xf numFmtId="9" fontId="3" fillId="8" borderId="3" xfId="0" applyNumberFormat="1" applyFont="1" applyFill="1" applyBorder="1" applyAlignment="1">
      <alignment horizontal="center" vertical="center"/>
    </xf>
    <xf numFmtId="185" fontId="3" fillId="8" borderId="3" xfId="0" applyNumberFormat="1" applyFont="1" applyFill="1" applyBorder="1" applyAlignment="1">
      <alignment horizontal="center" vertical="center"/>
    </xf>
    <xf numFmtId="10" fontId="3" fillId="8" borderId="3" xfId="0" applyNumberFormat="1" applyFont="1" applyFill="1" applyBorder="1" applyAlignment="1">
      <alignment horizontal="center" vertical="center"/>
    </xf>
    <xf numFmtId="184" fontId="3" fillId="8" borderId="3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83" fontId="3" fillId="8" borderId="3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" fontId="3" fillId="9" borderId="3" xfId="0" applyNumberFormat="1" applyFont="1" applyFill="1" applyBorder="1" applyAlignment="1">
      <alignment horizontal="center" vertical="center"/>
    </xf>
    <xf numFmtId="183" fontId="3" fillId="9" borderId="3" xfId="0" applyNumberFormat="1" applyFont="1" applyFill="1" applyBorder="1" applyAlignment="1">
      <alignment horizontal="center" vertical="center"/>
    </xf>
    <xf numFmtId="184" fontId="3" fillId="9" borderId="3" xfId="0" applyNumberFormat="1" applyFont="1" applyFill="1" applyBorder="1" applyAlignment="1">
      <alignment horizontal="center" vertical="center"/>
    </xf>
    <xf numFmtId="185" fontId="3" fillId="9" borderId="3" xfId="0" applyNumberFormat="1" applyFont="1" applyFill="1" applyBorder="1" applyAlignment="1">
      <alignment horizontal="center" vertical="center"/>
    </xf>
    <xf numFmtId="9" fontId="3" fillId="9" borderId="3" xfId="0" applyNumberFormat="1" applyFont="1" applyFill="1" applyBorder="1" applyAlignment="1">
      <alignment horizontal="center" vertical="center"/>
    </xf>
    <xf numFmtId="10" fontId="3" fillId="9" borderId="3" xfId="0" applyNumberFormat="1" applyFont="1" applyFill="1" applyBorder="1" applyAlignment="1">
      <alignment horizontal="center" vertical="center"/>
    </xf>
    <xf numFmtId="181" fontId="5" fillId="9" borderId="2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176" fontId="3" fillId="9" borderId="3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84" fontId="3" fillId="2" borderId="3" xfId="0" applyNumberFormat="1" applyFont="1" applyFill="1" applyBorder="1" applyAlignment="1">
      <alignment horizontal="center" vertical="center"/>
    </xf>
    <xf numFmtId="185" fontId="3" fillId="2" borderId="3" xfId="0" applyNumberFormat="1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4" fontId="3" fillId="10" borderId="3" xfId="0" applyNumberFormat="1" applyFont="1" applyFill="1" applyBorder="1" applyAlignment="1">
      <alignment horizontal="center" vertical="center"/>
    </xf>
    <xf numFmtId="184" fontId="3" fillId="10" borderId="3" xfId="0" applyNumberFormat="1" applyFont="1" applyFill="1" applyBorder="1" applyAlignment="1">
      <alignment horizontal="center" vertical="center"/>
    </xf>
    <xf numFmtId="185" fontId="3" fillId="10" borderId="3" xfId="0" applyNumberFormat="1" applyFont="1" applyFill="1" applyBorder="1" applyAlignment="1">
      <alignment horizontal="center" vertical="center"/>
    </xf>
    <xf numFmtId="9" fontId="3" fillId="10" borderId="3" xfId="0" applyNumberFormat="1" applyFont="1" applyFill="1" applyBorder="1" applyAlignment="1">
      <alignment horizontal="center" vertical="center"/>
    </xf>
    <xf numFmtId="10" fontId="3" fillId="10" borderId="3" xfId="0" applyNumberFormat="1" applyFont="1" applyFill="1" applyBorder="1" applyAlignment="1">
      <alignment horizontal="center" vertical="center"/>
    </xf>
    <xf numFmtId="183" fontId="3" fillId="10" borderId="3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4" fontId="3" fillId="11" borderId="3" xfId="0" applyNumberFormat="1" applyFont="1" applyFill="1" applyBorder="1" applyAlignment="1">
      <alignment horizontal="center" vertical="center"/>
    </xf>
    <xf numFmtId="183" fontId="3" fillId="11" borderId="3" xfId="0" applyNumberFormat="1" applyFont="1" applyFill="1" applyBorder="1" applyAlignment="1">
      <alignment horizontal="center" vertical="center"/>
    </xf>
    <xf numFmtId="184" fontId="3" fillId="11" borderId="3" xfId="0" applyNumberFormat="1" applyFont="1" applyFill="1" applyBorder="1" applyAlignment="1">
      <alignment horizontal="center" vertical="center"/>
    </xf>
    <xf numFmtId="185" fontId="3" fillId="11" borderId="3" xfId="0" applyNumberFormat="1" applyFont="1" applyFill="1" applyBorder="1" applyAlignment="1">
      <alignment horizontal="center" vertical="center"/>
    </xf>
    <xf numFmtId="9" fontId="3" fillId="11" borderId="3" xfId="0" applyNumberFormat="1" applyFont="1" applyFill="1" applyBorder="1" applyAlignment="1">
      <alignment horizontal="center" vertical="center"/>
    </xf>
    <xf numFmtId="10" fontId="3" fillId="11" borderId="3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76" fontId="3" fillId="11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6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theme="4" tint="0.79998168889431442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中色系标题行镶边行表格样式_6e22f3" count="7" xr9:uid="{E00CA0E3-79D8-4903-B228-3A83F0AB57B2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secondRowStripe" dxfId="20"/>
      <tableStyleElement type="firstColumnStripe" dxfId="19"/>
    </tableStyle>
    <tableStyle name="简约边框浅色系标题行镶边行表格样式_85b9f4" count="10" xr9:uid="{8C11199C-AA43-4645-BD7B-12FFFBF74FB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secondRowStripe" dxfId="13"/>
      <tableStyleElement type="firstColumnStripe" dxfId="12"/>
      <tableStyleElement type="secondColumnStripe" dxfId="11"/>
      <tableStyleElement type="firstTotalCell" dxfId="10"/>
      <tableStyleElement type="lastTotalCell" dxfId="9"/>
    </tableStyle>
    <tableStyle name="三线式标题行镶边行表格样式_5ef0b6" count="9" xr9:uid="{219521D6-99A5-4249-B260-7A034837830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lastHeader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M248"/>
  <sheetViews>
    <sheetView tabSelected="1" zoomScale="125" workbookViewId="0">
      <pane xSplit="4" ySplit="1" topLeftCell="E2" activePane="bottomRight" state="frozen"/>
      <selection pane="topRight"/>
      <selection pane="bottomLeft"/>
      <selection pane="bottomRight" activeCell="K109" sqref="K109"/>
    </sheetView>
  </sheetViews>
  <sheetFormatPr baseColWidth="10" defaultColWidth="9" defaultRowHeight="13.5" customHeight="1"/>
  <cols>
    <col min="1" max="1" width="12.6640625" style="3" customWidth="1"/>
    <col min="2" max="2" width="12.6640625" style="1" hidden="1" customWidth="1"/>
    <col min="3" max="3" width="7.6640625" style="1" customWidth="1"/>
    <col min="4" max="4" width="23.5" style="4" customWidth="1"/>
    <col min="5" max="5" width="15.33203125" style="4" customWidth="1"/>
    <col min="6" max="6" width="10.1640625" style="4" hidden="1" customWidth="1"/>
    <col min="7" max="7" width="9.6640625" style="4" hidden="1" customWidth="1"/>
    <col min="8" max="8" width="10.5" style="4" hidden="1" customWidth="1"/>
    <col min="9" max="9" width="12.1640625" style="3" customWidth="1"/>
    <col min="10" max="10" width="9.33203125" style="3"/>
    <col min="11" max="11" width="11.1640625" style="3"/>
    <col min="12" max="12" width="8.5" style="3" customWidth="1"/>
    <col min="13" max="13" width="14.33203125" style="3" customWidth="1"/>
    <col min="14" max="14" width="11.33203125" style="3" customWidth="1"/>
    <col min="15" max="15" width="10.1640625" style="5" customWidth="1"/>
    <col min="16" max="16" width="14.83203125" style="3" customWidth="1"/>
    <col min="17" max="17" width="10" style="3" customWidth="1"/>
    <col min="18" max="18" width="13.6640625" style="3" customWidth="1"/>
    <col min="19" max="19" width="12.6640625" style="3" customWidth="1"/>
    <col min="20" max="20" width="14.5" style="3" customWidth="1"/>
    <col min="21" max="21" width="9" style="3"/>
    <col min="22" max="22" width="12.6640625" style="3" customWidth="1"/>
    <col min="23" max="23" width="13.1640625" style="3" customWidth="1"/>
    <col min="24" max="24" width="8.5" style="6" customWidth="1"/>
    <col min="25" max="25" width="13.33203125" style="3" customWidth="1"/>
    <col min="26" max="26" width="9.1640625" style="3" hidden="1" customWidth="1"/>
    <col min="27" max="27" width="13.1640625" style="3" hidden="1" customWidth="1"/>
    <col min="28" max="28" width="9" style="3" hidden="1" customWidth="1"/>
    <col min="29" max="29" width="11.83203125" style="3" hidden="1" customWidth="1"/>
    <col min="30" max="30" width="9" style="3" hidden="1" customWidth="1"/>
    <col min="31" max="31" width="11.1640625" style="3" hidden="1" customWidth="1"/>
    <col min="32" max="32" width="10.6640625" style="3" hidden="1" customWidth="1"/>
    <col min="33" max="33" width="13.6640625" style="3" customWidth="1"/>
    <col min="34" max="34" width="11.6640625" style="3" customWidth="1"/>
    <col min="35" max="39" width="9" style="3"/>
  </cols>
  <sheetData>
    <row r="1" spans="1:39" s="1" customFormat="1" ht="39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16</v>
      </c>
      <c r="V1" s="10" t="s">
        <v>20</v>
      </c>
      <c r="W1" s="10" t="s">
        <v>21</v>
      </c>
      <c r="X1" s="11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16</v>
      </c>
      <c r="AE1" s="7" t="s">
        <v>28</v>
      </c>
      <c r="AF1" s="7" t="s">
        <v>29</v>
      </c>
      <c r="AG1" s="7" t="s">
        <v>30</v>
      </c>
      <c r="AH1" s="12" t="s">
        <v>31</v>
      </c>
      <c r="AI1" s="13"/>
      <c r="AJ1" s="13"/>
      <c r="AK1" s="13"/>
      <c r="AL1" s="13"/>
      <c r="AM1" s="13"/>
    </row>
    <row r="2" spans="1:39" s="1" customFormat="1" ht="21" hidden="1" customHeight="1">
      <c r="A2" s="14" t="s">
        <v>32</v>
      </c>
      <c r="B2" s="15" t="s">
        <v>33</v>
      </c>
      <c r="C2" s="15">
        <v>5</v>
      </c>
      <c r="D2" s="15" t="s">
        <v>34</v>
      </c>
      <c r="E2" s="15" t="s">
        <v>35</v>
      </c>
      <c r="F2" s="16" t="s">
        <v>36</v>
      </c>
      <c r="G2" s="16"/>
      <c r="H2" s="15" t="s">
        <v>37</v>
      </c>
      <c r="I2" s="17">
        <v>3000</v>
      </c>
      <c r="J2" s="18">
        <v>124.99</v>
      </c>
      <c r="K2" s="18">
        <f t="shared" ref="K2:K27" si="0">J2*L2</f>
        <v>849.93200000000002</v>
      </c>
      <c r="L2" s="19">
        <v>6.8</v>
      </c>
      <c r="M2" s="18">
        <f t="shared" ref="M2:M27" si="1">I2*K2</f>
        <v>2549796</v>
      </c>
      <c r="N2" s="20">
        <v>0.16</v>
      </c>
      <c r="O2" s="21">
        <v>21.4</v>
      </c>
      <c r="P2" s="18">
        <f>(J2*0.15*I2+O2*I2)*L2+M2*N2</f>
        <v>1226996.76</v>
      </c>
      <c r="Q2" s="22">
        <f t="shared" ref="Q2:Q27" si="2">P2/M2</f>
        <v>0.481213697095768</v>
      </c>
      <c r="R2" s="18">
        <f t="shared" ref="R2:R27" si="3">M2*S2</f>
        <v>254979.6</v>
      </c>
      <c r="S2" s="22">
        <v>0.1</v>
      </c>
      <c r="T2" s="18">
        <f t="shared" ref="T2:T27" si="4">M2-P2-R2</f>
        <v>1067819.6399999999</v>
      </c>
      <c r="U2" s="22">
        <f t="shared" ref="U2:U27" si="5">T2/M2</f>
        <v>0.41878630290423202</v>
      </c>
      <c r="V2" s="18">
        <f t="shared" ref="V2:V27" si="6">M2*W2</f>
        <v>76493.88</v>
      </c>
      <c r="W2" s="23">
        <v>0.03</v>
      </c>
      <c r="X2" s="21">
        <v>192</v>
      </c>
      <c r="Y2" s="18">
        <f>X2*I2</f>
        <v>576000</v>
      </c>
      <c r="Z2" s="22">
        <f>Y2/M2</f>
        <v>0.22590042497517501</v>
      </c>
      <c r="AA2" s="18">
        <f>M2*AB2</f>
        <v>203983.68</v>
      </c>
      <c r="AB2" s="22">
        <v>0.08</v>
      </c>
      <c r="AC2" s="18">
        <f>M2*0.04</f>
        <v>101991.84</v>
      </c>
      <c r="AD2" s="24">
        <v>0.03</v>
      </c>
      <c r="AE2" s="18">
        <v>0</v>
      </c>
      <c r="AF2" s="24">
        <v>0</v>
      </c>
      <c r="AG2" s="18">
        <f t="shared" ref="AG2:AG27" si="7">T2-V2-Y2-AA2-AC2-AE2</f>
        <v>109350.24</v>
      </c>
      <c r="AH2" s="20">
        <f t="shared" ref="AH2:AH27" si="8">AG2/M2</f>
        <v>4.2885877929057799E-2</v>
      </c>
    </row>
    <row r="3" spans="1:39" s="2" customFormat="1" ht="21" hidden="1" customHeight="1">
      <c r="A3" s="14" t="s">
        <v>32</v>
      </c>
      <c r="B3" s="25" t="s">
        <v>38</v>
      </c>
      <c r="C3" s="26">
        <v>5</v>
      </c>
      <c r="D3" s="16" t="s">
        <v>39</v>
      </c>
      <c r="E3" s="16" t="s">
        <v>35</v>
      </c>
      <c r="F3" s="16" t="s">
        <v>36</v>
      </c>
      <c r="G3" s="16"/>
      <c r="H3" s="16" t="s">
        <v>37</v>
      </c>
      <c r="I3" s="17">
        <v>800</v>
      </c>
      <c r="J3" s="18">
        <v>99.99</v>
      </c>
      <c r="K3" s="27">
        <f t="shared" si="0"/>
        <v>679.93200000000002</v>
      </c>
      <c r="L3" s="19">
        <v>6.8</v>
      </c>
      <c r="M3" s="27">
        <f t="shared" si="1"/>
        <v>543945.6</v>
      </c>
      <c r="N3" s="20">
        <v>0.15</v>
      </c>
      <c r="O3" s="21">
        <v>16.350000000000001</v>
      </c>
      <c r="P3" s="18">
        <f>(J3*0.15*I3+O3*I3)*L3+M3*N3</f>
        <v>252127.68</v>
      </c>
      <c r="Q3" s="22">
        <f t="shared" si="2"/>
        <v>0.46351635163516403</v>
      </c>
      <c r="R3" s="27">
        <f t="shared" si="3"/>
        <v>54394.559999999998</v>
      </c>
      <c r="S3" s="22">
        <v>0.1</v>
      </c>
      <c r="T3" s="18">
        <f t="shared" si="4"/>
        <v>237423.35999999999</v>
      </c>
      <c r="U3" s="22">
        <f t="shared" si="5"/>
        <v>0.436483648364836</v>
      </c>
      <c r="V3" s="21">
        <f t="shared" si="6"/>
        <v>16318.368</v>
      </c>
      <c r="W3" s="22">
        <v>0.03</v>
      </c>
      <c r="X3" s="21">
        <v>157</v>
      </c>
      <c r="Y3" s="18">
        <f>X3*I3</f>
        <v>125600</v>
      </c>
      <c r="Z3" s="22">
        <f>Y3/M3</f>
        <v>0.230905443485525</v>
      </c>
      <c r="AA3" s="27">
        <f>4.3*I3*L3</f>
        <v>23392</v>
      </c>
      <c r="AB3" s="22">
        <f>AA3/M3</f>
        <v>4.3004300430043003E-2</v>
      </c>
      <c r="AC3" s="18">
        <f>M3*0.04</f>
        <v>21757.824000000001</v>
      </c>
      <c r="AD3" s="24">
        <f>AC3/M3</f>
        <v>0.04</v>
      </c>
      <c r="AE3" s="18">
        <v>0</v>
      </c>
      <c r="AF3" s="24">
        <f>AE3/M3</f>
        <v>0</v>
      </c>
      <c r="AG3" s="18">
        <f t="shared" si="7"/>
        <v>50355.167999999903</v>
      </c>
      <c r="AH3" s="20">
        <f t="shared" si="8"/>
        <v>9.2573904449268302E-2</v>
      </c>
    </row>
    <row r="4" spans="1:39" s="2" customFormat="1" ht="21" hidden="1" customHeight="1">
      <c r="A4" s="14" t="s">
        <v>32</v>
      </c>
      <c r="B4" s="28" t="s">
        <v>40</v>
      </c>
      <c r="C4" s="26">
        <v>5</v>
      </c>
      <c r="D4" s="16" t="s">
        <v>41</v>
      </c>
      <c r="E4" s="16" t="s">
        <v>42</v>
      </c>
      <c r="F4" s="16" t="s">
        <v>36</v>
      </c>
      <c r="G4" s="16"/>
      <c r="H4" s="16" t="s">
        <v>43</v>
      </c>
      <c r="I4" s="17">
        <v>150</v>
      </c>
      <c r="J4" s="18">
        <v>71.989999999999995</v>
      </c>
      <c r="K4" s="18">
        <f t="shared" si="0"/>
        <v>489.53199999999998</v>
      </c>
      <c r="L4" s="19">
        <v>6.8</v>
      </c>
      <c r="M4" s="18">
        <f t="shared" si="1"/>
        <v>73429.8</v>
      </c>
      <c r="N4" s="20">
        <v>0.04</v>
      </c>
      <c r="O4" s="21">
        <v>17.690000000000001</v>
      </c>
      <c r="P4" s="18">
        <f t="shared" ref="P4:P26" si="9">(J4*0.15*I4+O4*I4)*L4+M4*N4</f>
        <v>31995.462</v>
      </c>
      <c r="Q4" s="22">
        <f t="shared" si="2"/>
        <v>0.435728573412974</v>
      </c>
      <c r="R4" s="18">
        <f t="shared" si="3"/>
        <v>5874.384</v>
      </c>
      <c r="S4" s="22">
        <v>0.08</v>
      </c>
      <c r="T4" s="18">
        <f t="shared" si="4"/>
        <v>35559.953999999998</v>
      </c>
      <c r="U4" s="22">
        <f t="shared" si="5"/>
        <v>0.48427142658702599</v>
      </c>
      <c r="V4" s="21">
        <f t="shared" si="6"/>
        <v>1468.596</v>
      </c>
      <c r="W4" s="22">
        <v>0.02</v>
      </c>
      <c r="X4" s="21">
        <v>129.5</v>
      </c>
      <c r="Y4" s="18">
        <f t="shared" ref="Y4:Y27" si="10">X4*I4</f>
        <v>19425</v>
      </c>
      <c r="Z4" s="22">
        <f>Y4/M4</f>
        <v>0.26453837542795999</v>
      </c>
      <c r="AA4" s="18">
        <f>10.13*I4*L4</f>
        <v>10332.6</v>
      </c>
      <c r="AB4" s="22">
        <f>AA4/M4</f>
        <v>0.14071398805389601</v>
      </c>
      <c r="AC4" s="18">
        <f t="shared" ref="AC4:AC15" si="11">M4*0.04</f>
        <v>2937.192</v>
      </c>
      <c r="AD4" s="24">
        <f t="shared" ref="AD4:AD15" si="12">AC4/M4</f>
        <v>0.04</v>
      </c>
      <c r="AE4" s="18">
        <v>0</v>
      </c>
      <c r="AF4" s="24">
        <f>AE4/M4</f>
        <v>0</v>
      </c>
      <c r="AG4" s="18">
        <f t="shared" si="7"/>
        <v>1396.56599999999</v>
      </c>
      <c r="AH4" s="20">
        <f t="shared" si="8"/>
        <v>1.9019063105169699E-2</v>
      </c>
    </row>
    <row r="5" spans="1:39" s="1" customFormat="1" ht="21" hidden="1" customHeight="1">
      <c r="A5" s="14" t="s">
        <v>32</v>
      </c>
      <c r="B5" s="28" t="s">
        <v>40</v>
      </c>
      <c r="C5" s="26">
        <v>5</v>
      </c>
      <c r="D5" s="16" t="s">
        <v>44</v>
      </c>
      <c r="E5" s="16" t="s">
        <v>42</v>
      </c>
      <c r="F5" s="16" t="s">
        <v>36</v>
      </c>
      <c r="G5" s="16"/>
      <c r="H5" s="16" t="s">
        <v>43</v>
      </c>
      <c r="I5" s="17">
        <v>120</v>
      </c>
      <c r="J5" s="18">
        <v>119.99</v>
      </c>
      <c r="K5" s="18">
        <f t="shared" si="0"/>
        <v>815.93200000000002</v>
      </c>
      <c r="L5" s="19">
        <v>6.8</v>
      </c>
      <c r="M5" s="18">
        <f t="shared" si="1"/>
        <v>97911.84</v>
      </c>
      <c r="N5" s="20">
        <v>0.04</v>
      </c>
      <c r="O5" s="21">
        <v>19.59</v>
      </c>
      <c r="P5" s="18">
        <f t="shared" si="9"/>
        <v>34588.689599999998</v>
      </c>
      <c r="Q5" s="22">
        <f t="shared" si="2"/>
        <v>0.35326360530044199</v>
      </c>
      <c r="R5" s="18">
        <f t="shared" si="3"/>
        <v>7832.9471999999996</v>
      </c>
      <c r="S5" s="22">
        <v>0.08</v>
      </c>
      <c r="T5" s="18">
        <f t="shared" si="4"/>
        <v>55490.203200000004</v>
      </c>
      <c r="U5" s="22">
        <f t="shared" si="5"/>
        <v>0.56673639469955805</v>
      </c>
      <c r="V5" s="21">
        <f t="shared" si="6"/>
        <v>1958.2367999999999</v>
      </c>
      <c r="W5" s="22">
        <v>0.02</v>
      </c>
      <c r="X5" s="21">
        <v>163.5</v>
      </c>
      <c r="Y5" s="18">
        <f t="shared" si="10"/>
        <v>19620</v>
      </c>
      <c r="Z5" s="22">
        <f>Y5/M5</f>
        <v>0.200384345754303</v>
      </c>
      <c r="AA5" s="18">
        <f>M5*AB5</f>
        <v>8812.0655999999999</v>
      </c>
      <c r="AB5" s="22">
        <v>0.09</v>
      </c>
      <c r="AC5" s="18">
        <f t="shared" si="11"/>
        <v>3916.4735999999998</v>
      </c>
      <c r="AD5" s="24">
        <f t="shared" si="12"/>
        <v>0.04</v>
      </c>
      <c r="AE5" s="18">
        <v>0</v>
      </c>
      <c r="AF5" s="24">
        <f>AE5/M5</f>
        <v>0</v>
      </c>
      <c r="AG5" s="18">
        <f t="shared" si="7"/>
        <v>21183.427199999998</v>
      </c>
      <c r="AH5" s="20">
        <f t="shared" si="8"/>
        <v>0.216352048945255</v>
      </c>
      <c r="AI5" s="13"/>
      <c r="AJ5" s="13"/>
      <c r="AK5" s="13"/>
      <c r="AL5" s="13"/>
      <c r="AM5" s="13"/>
    </row>
    <row r="6" spans="1:39" s="1" customFormat="1" ht="21" hidden="1" customHeight="1">
      <c r="A6" s="14" t="s">
        <v>32</v>
      </c>
      <c r="B6" s="28" t="s">
        <v>40</v>
      </c>
      <c r="C6" s="26">
        <v>5</v>
      </c>
      <c r="D6" s="16" t="s">
        <v>45</v>
      </c>
      <c r="E6" s="16" t="s">
        <v>42</v>
      </c>
      <c r="F6" s="16" t="s">
        <v>36</v>
      </c>
      <c r="G6" s="16"/>
      <c r="H6" s="16" t="s">
        <v>43</v>
      </c>
      <c r="I6" s="17">
        <v>60</v>
      </c>
      <c r="J6" s="18">
        <v>139.99</v>
      </c>
      <c r="K6" s="18">
        <f t="shared" si="0"/>
        <v>951.93200000000002</v>
      </c>
      <c r="L6" s="19">
        <v>6.8</v>
      </c>
      <c r="M6" s="18">
        <f t="shared" si="1"/>
        <v>57115.92</v>
      </c>
      <c r="N6" s="20">
        <v>0.04</v>
      </c>
      <c r="O6" s="21">
        <v>23.57</v>
      </c>
      <c r="P6" s="18">
        <f t="shared" si="9"/>
        <v>20468.584800000001</v>
      </c>
      <c r="Q6" s="22">
        <f t="shared" si="2"/>
        <v>0.35836916922637302</v>
      </c>
      <c r="R6" s="18">
        <f t="shared" si="3"/>
        <v>5711.5919999999996</v>
      </c>
      <c r="S6" s="22">
        <v>0.1</v>
      </c>
      <c r="T6" s="18">
        <f t="shared" si="4"/>
        <v>30935.743200000001</v>
      </c>
      <c r="U6" s="22">
        <f t="shared" si="5"/>
        <v>0.54163083077362695</v>
      </c>
      <c r="V6" s="21">
        <f t="shared" si="6"/>
        <v>1142.3184000000001</v>
      </c>
      <c r="W6" s="22">
        <v>0.02</v>
      </c>
      <c r="X6" s="21">
        <v>241</v>
      </c>
      <c r="Y6" s="18">
        <f t="shared" si="10"/>
        <v>14460</v>
      </c>
      <c r="Z6" s="22">
        <f>Y6/M6</f>
        <v>0.253169344028775</v>
      </c>
      <c r="AA6" s="18">
        <f>M6*AB6</f>
        <v>4569.2736000000004</v>
      </c>
      <c r="AB6" s="22">
        <v>0.08</v>
      </c>
      <c r="AC6" s="18">
        <f t="shared" si="11"/>
        <v>2284.6368000000002</v>
      </c>
      <c r="AD6" s="24">
        <f t="shared" si="12"/>
        <v>0.04</v>
      </c>
      <c r="AE6" s="18">
        <v>0</v>
      </c>
      <c r="AF6" s="24">
        <f>AE6/M6</f>
        <v>0</v>
      </c>
      <c r="AG6" s="18">
        <f t="shared" si="7"/>
        <v>8479.5144</v>
      </c>
      <c r="AH6" s="20">
        <f t="shared" si="8"/>
        <v>0.14846148674485199</v>
      </c>
      <c r="AI6" s="13"/>
      <c r="AJ6" s="13"/>
      <c r="AK6" s="13"/>
      <c r="AL6" s="13"/>
      <c r="AM6" s="13"/>
    </row>
    <row r="7" spans="1:39" s="2" customFormat="1" ht="21" hidden="1" customHeight="1">
      <c r="A7" s="14" t="s">
        <v>32</v>
      </c>
      <c r="B7" s="28" t="s">
        <v>46</v>
      </c>
      <c r="C7" s="26">
        <v>5</v>
      </c>
      <c r="D7" s="16" t="s">
        <v>47</v>
      </c>
      <c r="E7" s="16" t="s">
        <v>42</v>
      </c>
      <c r="F7" s="16" t="s">
        <v>36</v>
      </c>
      <c r="G7" s="16"/>
      <c r="H7" s="16" t="s">
        <v>43</v>
      </c>
      <c r="I7" s="17">
        <v>150</v>
      </c>
      <c r="J7" s="18">
        <v>112.99</v>
      </c>
      <c r="K7" s="18">
        <f t="shared" si="0"/>
        <v>768.33199999999999</v>
      </c>
      <c r="L7" s="19">
        <v>6.8</v>
      </c>
      <c r="M7" s="18">
        <f t="shared" si="1"/>
        <v>115249.8</v>
      </c>
      <c r="N7" s="20">
        <v>0.04</v>
      </c>
      <c r="O7" s="21">
        <v>23.57</v>
      </c>
      <c r="P7" s="18">
        <f t="shared" si="9"/>
        <v>45938.862000000001</v>
      </c>
      <c r="Q7" s="22">
        <f t="shared" si="2"/>
        <v>0.39860253119745098</v>
      </c>
      <c r="R7" s="18">
        <f t="shared" si="3"/>
        <v>11524.98</v>
      </c>
      <c r="S7" s="22">
        <v>0.1</v>
      </c>
      <c r="T7" s="18">
        <f t="shared" si="4"/>
        <v>57785.957999999999</v>
      </c>
      <c r="U7" s="22">
        <f t="shared" si="5"/>
        <v>0.50139746880254898</v>
      </c>
      <c r="V7" s="21">
        <f t="shared" si="6"/>
        <v>2304.9960000000001</v>
      </c>
      <c r="W7" s="22">
        <v>0.02</v>
      </c>
      <c r="X7" s="21">
        <v>176</v>
      </c>
      <c r="Y7" s="18">
        <f t="shared" si="10"/>
        <v>26400</v>
      </c>
      <c r="Z7" s="22">
        <v>0.28000000000000003</v>
      </c>
      <c r="AA7" s="18">
        <f>M7*AB7</f>
        <v>8067.4859999999999</v>
      </c>
      <c r="AB7" s="22">
        <v>7.0000000000000007E-2</v>
      </c>
      <c r="AC7" s="18">
        <f t="shared" si="11"/>
        <v>4609.9920000000002</v>
      </c>
      <c r="AD7" s="24">
        <f t="shared" si="12"/>
        <v>0.04</v>
      </c>
      <c r="AE7" s="18">
        <v>0</v>
      </c>
      <c r="AF7" s="24">
        <v>0</v>
      </c>
      <c r="AG7" s="18">
        <f t="shared" si="7"/>
        <v>16403.484</v>
      </c>
      <c r="AH7" s="20">
        <f t="shared" si="8"/>
        <v>0.142329826168896</v>
      </c>
    </row>
    <row r="8" spans="1:39" s="2" customFormat="1" ht="21" hidden="1" customHeight="1">
      <c r="A8" s="14" t="s">
        <v>32</v>
      </c>
      <c r="B8" s="28" t="s">
        <v>46</v>
      </c>
      <c r="C8" s="26">
        <v>5</v>
      </c>
      <c r="D8" s="16" t="s">
        <v>48</v>
      </c>
      <c r="E8" s="16" t="s">
        <v>42</v>
      </c>
      <c r="F8" s="16" t="s">
        <v>36</v>
      </c>
      <c r="G8" s="16"/>
      <c r="H8" s="16" t="s">
        <v>43</v>
      </c>
      <c r="I8" s="17">
        <v>90</v>
      </c>
      <c r="J8" s="18">
        <v>159.99</v>
      </c>
      <c r="K8" s="18">
        <f t="shared" si="0"/>
        <v>1087.932</v>
      </c>
      <c r="L8" s="19">
        <v>6.8</v>
      </c>
      <c r="M8" s="18">
        <f t="shared" si="1"/>
        <v>97913.88</v>
      </c>
      <c r="N8" s="20">
        <v>0.04</v>
      </c>
      <c r="O8" s="21">
        <v>29.27</v>
      </c>
      <c r="P8" s="18">
        <f t="shared" si="9"/>
        <v>36516.877200000003</v>
      </c>
      <c r="Q8" s="22">
        <f t="shared" si="2"/>
        <v>0.37294893430839399</v>
      </c>
      <c r="R8" s="18">
        <f t="shared" si="3"/>
        <v>9791.3880000000008</v>
      </c>
      <c r="S8" s="22">
        <v>0.1</v>
      </c>
      <c r="T8" s="18">
        <f t="shared" si="4"/>
        <v>51605.614800000003</v>
      </c>
      <c r="U8" s="22">
        <f t="shared" si="5"/>
        <v>0.52705106569160598</v>
      </c>
      <c r="V8" s="21">
        <f t="shared" si="6"/>
        <v>1958.2775999999999</v>
      </c>
      <c r="W8" s="22">
        <v>0.02</v>
      </c>
      <c r="X8" s="21">
        <v>280.3</v>
      </c>
      <c r="Y8" s="18">
        <f t="shared" si="10"/>
        <v>25227</v>
      </c>
      <c r="Z8" s="22">
        <f t="shared" ref="Z8:Z29" si="13">Y8/M8</f>
        <v>0.25764477926929302</v>
      </c>
      <c r="AA8" s="18">
        <f>M8*AB8</f>
        <v>6853.9715999999999</v>
      </c>
      <c r="AB8" s="22">
        <v>7.0000000000000007E-2</v>
      </c>
      <c r="AC8" s="18">
        <f t="shared" si="11"/>
        <v>3916.5551999999998</v>
      </c>
      <c r="AD8" s="24">
        <f t="shared" si="12"/>
        <v>0.04</v>
      </c>
      <c r="AE8" s="18">
        <v>0</v>
      </c>
      <c r="AF8" s="24">
        <v>0</v>
      </c>
      <c r="AG8" s="18">
        <f t="shared" si="7"/>
        <v>13649.8104</v>
      </c>
      <c r="AH8" s="20">
        <f t="shared" si="8"/>
        <v>0.13940628642231301</v>
      </c>
    </row>
    <row r="9" spans="1:39" s="2" customFormat="1" ht="21" hidden="1" customHeight="1">
      <c r="A9" s="14" t="s">
        <v>32</v>
      </c>
      <c r="B9" s="28" t="s">
        <v>46</v>
      </c>
      <c r="C9" s="26">
        <v>5</v>
      </c>
      <c r="D9" s="16" t="s">
        <v>49</v>
      </c>
      <c r="E9" s="16" t="s">
        <v>42</v>
      </c>
      <c r="F9" s="16" t="s">
        <v>36</v>
      </c>
      <c r="G9" s="16"/>
      <c r="H9" s="16" t="s">
        <v>43</v>
      </c>
      <c r="I9" s="17">
        <v>120</v>
      </c>
      <c r="J9" s="18">
        <v>69.989999999999995</v>
      </c>
      <c r="K9" s="18">
        <f t="shared" si="0"/>
        <v>475.93200000000002</v>
      </c>
      <c r="L9" s="19">
        <v>6.8</v>
      </c>
      <c r="M9" s="18">
        <f t="shared" si="1"/>
        <v>57111.839999999997</v>
      </c>
      <c r="N9" s="20">
        <v>0.02</v>
      </c>
      <c r="O9" s="21">
        <v>18.25</v>
      </c>
      <c r="P9" s="18">
        <f t="shared" si="9"/>
        <v>24601.0128</v>
      </c>
      <c r="Q9" s="22">
        <f t="shared" si="2"/>
        <v>0.43075153593370502</v>
      </c>
      <c r="R9" s="18">
        <f t="shared" si="3"/>
        <v>6853.4207999999999</v>
      </c>
      <c r="S9" s="22">
        <v>0.12</v>
      </c>
      <c r="T9" s="18">
        <f t="shared" si="4"/>
        <v>25657.4064</v>
      </c>
      <c r="U9" s="22">
        <f t="shared" si="5"/>
        <v>0.44924846406629498</v>
      </c>
      <c r="V9" s="21">
        <f t="shared" si="6"/>
        <v>1142.2367999999999</v>
      </c>
      <c r="W9" s="22">
        <v>0.02</v>
      </c>
      <c r="X9" s="21">
        <v>78</v>
      </c>
      <c r="Y9" s="18">
        <f t="shared" si="10"/>
        <v>9360</v>
      </c>
      <c r="Z9" s="22">
        <f t="shared" si="13"/>
        <v>0.163888958926906</v>
      </c>
      <c r="AA9" s="18">
        <f>6.11*I9*L9</f>
        <v>4985.76</v>
      </c>
      <c r="AB9" s="22">
        <v>7.0000000000000007E-2</v>
      </c>
      <c r="AC9" s="18">
        <f t="shared" si="11"/>
        <v>2284.4735999999998</v>
      </c>
      <c r="AD9" s="24">
        <f t="shared" si="12"/>
        <v>0.04</v>
      </c>
      <c r="AE9" s="18">
        <v>0</v>
      </c>
      <c r="AF9" s="24">
        <f>AE9/M9</f>
        <v>0</v>
      </c>
      <c r="AG9" s="18">
        <f t="shared" si="7"/>
        <v>7884.9359999999997</v>
      </c>
      <c r="AH9" s="20">
        <f t="shared" si="8"/>
        <v>0.138061319684325</v>
      </c>
    </row>
    <row r="10" spans="1:39" s="2" customFormat="1" ht="21" hidden="1" customHeight="1">
      <c r="A10" s="14" t="s">
        <v>32</v>
      </c>
      <c r="B10" s="28" t="s">
        <v>46</v>
      </c>
      <c r="C10" s="26">
        <v>5</v>
      </c>
      <c r="D10" s="16" t="s">
        <v>50</v>
      </c>
      <c r="E10" s="16" t="s">
        <v>42</v>
      </c>
      <c r="F10" s="16" t="s">
        <v>36</v>
      </c>
      <c r="G10" s="16"/>
      <c r="H10" s="16" t="s">
        <v>37</v>
      </c>
      <c r="I10" s="17">
        <v>60</v>
      </c>
      <c r="J10" s="18">
        <v>69.989999999999995</v>
      </c>
      <c r="K10" s="18">
        <f t="shared" si="0"/>
        <v>475.93200000000002</v>
      </c>
      <c r="L10" s="19">
        <v>6.8</v>
      </c>
      <c r="M10" s="18">
        <f t="shared" si="1"/>
        <v>28555.919999999998</v>
      </c>
      <c r="N10" s="20">
        <v>0.06</v>
      </c>
      <c r="O10" s="21">
        <v>17.489999999999998</v>
      </c>
      <c r="P10" s="18">
        <f t="shared" si="9"/>
        <v>13132.663200000001</v>
      </c>
      <c r="Q10" s="22">
        <f t="shared" si="2"/>
        <v>0.45989284183454798</v>
      </c>
      <c r="R10" s="18">
        <f t="shared" si="3"/>
        <v>2284.4735999999998</v>
      </c>
      <c r="S10" s="22">
        <v>0.08</v>
      </c>
      <c r="T10" s="18">
        <f t="shared" si="4"/>
        <v>13138.7832</v>
      </c>
      <c r="U10" s="22">
        <f t="shared" si="5"/>
        <v>0.460107158165452</v>
      </c>
      <c r="V10" s="21">
        <f t="shared" si="6"/>
        <v>571.11839999999995</v>
      </c>
      <c r="W10" s="22">
        <v>0.02</v>
      </c>
      <c r="X10" s="21">
        <v>231</v>
      </c>
      <c r="Y10" s="18">
        <f t="shared" si="10"/>
        <v>13860</v>
      </c>
      <c r="Z10" s="22">
        <f t="shared" si="13"/>
        <v>0.48536345528352798</v>
      </c>
      <c r="AA10" s="18">
        <f>17.22*I10*L10</f>
        <v>7025.76</v>
      </c>
      <c r="AB10" s="22">
        <v>7.0000000000000007E-2</v>
      </c>
      <c r="AC10" s="18">
        <f t="shared" si="11"/>
        <v>1142.2367999999999</v>
      </c>
      <c r="AD10" s="24">
        <f t="shared" si="12"/>
        <v>0.04</v>
      </c>
      <c r="AE10" s="18">
        <v>0</v>
      </c>
      <c r="AF10" s="24">
        <v>0</v>
      </c>
      <c r="AG10" s="18">
        <f t="shared" si="7"/>
        <v>-9460.3320000000003</v>
      </c>
      <c r="AH10" s="20">
        <f t="shared" si="8"/>
        <v>-0.331291444996344</v>
      </c>
    </row>
    <row r="11" spans="1:39" s="1" customFormat="1" ht="21" hidden="1" customHeight="1">
      <c r="A11" s="14" t="s">
        <v>32</v>
      </c>
      <c r="B11" s="28" t="s">
        <v>46</v>
      </c>
      <c r="C11" s="26">
        <v>5</v>
      </c>
      <c r="D11" s="16" t="s">
        <v>51</v>
      </c>
      <c r="E11" s="16" t="s">
        <v>42</v>
      </c>
      <c r="F11" s="16" t="s">
        <v>36</v>
      </c>
      <c r="G11" s="16"/>
      <c r="H11" s="16" t="s">
        <v>37</v>
      </c>
      <c r="I11" s="17">
        <v>60</v>
      </c>
      <c r="J11" s="18">
        <v>89.99</v>
      </c>
      <c r="K11" s="18">
        <f t="shared" si="0"/>
        <v>611.93200000000002</v>
      </c>
      <c r="L11" s="19">
        <v>6.8</v>
      </c>
      <c r="M11" s="18">
        <f t="shared" si="1"/>
        <v>36715.919999999998</v>
      </c>
      <c r="N11" s="20">
        <v>0.06</v>
      </c>
      <c r="O11" s="21">
        <v>20.53</v>
      </c>
      <c r="P11" s="18">
        <f t="shared" si="9"/>
        <v>16086.583199999999</v>
      </c>
      <c r="Q11" s="22">
        <f t="shared" si="2"/>
        <v>0.43813645960662301</v>
      </c>
      <c r="R11" s="18">
        <f t="shared" si="3"/>
        <v>3671.5920000000001</v>
      </c>
      <c r="S11" s="22">
        <v>0.1</v>
      </c>
      <c r="T11" s="18">
        <f t="shared" si="4"/>
        <v>16957.7448</v>
      </c>
      <c r="U11" s="22">
        <f t="shared" si="5"/>
        <v>0.46186354039337701</v>
      </c>
      <c r="V11" s="21">
        <f t="shared" si="6"/>
        <v>734.3184</v>
      </c>
      <c r="W11" s="22">
        <v>0.02</v>
      </c>
      <c r="X11" s="21">
        <v>279</v>
      </c>
      <c r="Y11" s="18">
        <f t="shared" si="10"/>
        <v>16740</v>
      </c>
      <c r="Z11" s="22">
        <f t="shared" si="13"/>
        <v>0.45593301216475002</v>
      </c>
      <c r="AA11" s="18">
        <f>M11*AB11</f>
        <v>2937.2736</v>
      </c>
      <c r="AB11" s="22">
        <v>0.08</v>
      </c>
      <c r="AC11" s="18">
        <f t="shared" si="11"/>
        <v>1468.6368</v>
      </c>
      <c r="AD11" s="24">
        <f t="shared" si="12"/>
        <v>0.04</v>
      </c>
      <c r="AE11" s="18">
        <v>0</v>
      </c>
      <c r="AF11" s="24">
        <v>0</v>
      </c>
      <c r="AG11" s="18">
        <f t="shared" si="7"/>
        <v>-4922.4840000000104</v>
      </c>
      <c r="AH11" s="20">
        <f t="shared" si="8"/>
        <v>-0.13406947177137399</v>
      </c>
      <c r="AI11" s="13"/>
      <c r="AJ11" s="13"/>
      <c r="AK11" s="13"/>
      <c r="AL11" s="13"/>
      <c r="AM11" s="13"/>
    </row>
    <row r="12" spans="1:39" s="1" customFormat="1" ht="21" hidden="1" customHeight="1">
      <c r="A12" s="14" t="s">
        <v>32</v>
      </c>
      <c r="B12" s="28" t="s">
        <v>46</v>
      </c>
      <c r="C12" s="26">
        <v>5</v>
      </c>
      <c r="D12" s="16" t="s">
        <v>52</v>
      </c>
      <c r="E12" s="16" t="s">
        <v>42</v>
      </c>
      <c r="F12" s="16" t="s">
        <v>36</v>
      </c>
      <c r="G12" s="16"/>
      <c r="H12" s="16" t="s">
        <v>37</v>
      </c>
      <c r="I12" s="17">
        <v>30</v>
      </c>
      <c r="J12" s="18">
        <v>109.99</v>
      </c>
      <c r="K12" s="18">
        <f t="shared" si="0"/>
        <v>747.93200000000002</v>
      </c>
      <c r="L12" s="19">
        <v>6.8</v>
      </c>
      <c r="M12" s="18">
        <f t="shared" si="1"/>
        <v>22437.96</v>
      </c>
      <c r="N12" s="20">
        <v>0.06</v>
      </c>
      <c r="O12" s="21">
        <v>20.91</v>
      </c>
      <c r="P12" s="18">
        <f t="shared" si="9"/>
        <v>8977.6116000000002</v>
      </c>
      <c r="Q12" s="22">
        <f t="shared" si="2"/>
        <v>0.40010819165378703</v>
      </c>
      <c r="R12" s="18">
        <f t="shared" si="3"/>
        <v>2243.7959999999998</v>
      </c>
      <c r="S12" s="22">
        <v>0.1</v>
      </c>
      <c r="T12" s="18">
        <f t="shared" si="4"/>
        <v>11216.5524</v>
      </c>
      <c r="U12" s="22">
        <f t="shared" si="5"/>
        <v>0.499891808346213</v>
      </c>
      <c r="V12" s="21">
        <f t="shared" si="6"/>
        <v>448.75920000000002</v>
      </c>
      <c r="W12" s="22">
        <v>0.02</v>
      </c>
      <c r="X12" s="21">
        <v>323</v>
      </c>
      <c r="Y12" s="18">
        <f t="shared" si="10"/>
        <v>9690</v>
      </c>
      <c r="Z12" s="22">
        <f t="shared" si="13"/>
        <v>0.43185744158559902</v>
      </c>
      <c r="AA12" s="18">
        <f>M12*AB12</f>
        <v>1795.0368000000001</v>
      </c>
      <c r="AB12" s="22">
        <v>0.08</v>
      </c>
      <c r="AC12" s="18">
        <f t="shared" si="11"/>
        <v>897.51840000000004</v>
      </c>
      <c r="AD12" s="24">
        <f t="shared" si="12"/>
        <v>0.04</v>
      </c>
      <c r="AE12" s="18">
        <v>0</v>
      </c>
      <c r="AF12" s="24">
        <v>0</v>
      </c>
      <c r="AG12" s="18">
        <f t="shared" si="7"/>
        <v>-1614.7619999999999</v>
      </c>
      <c r="AH12" s="20">
        <f t="shared" si="8"/>
        <v>-7.1965633239385499E-2</v>
      </c>
    </row>
    <row r="13" spans="1:39" s="2" customFormat="1" ht="21" hidden="1" customHeight="1">
      <c r="A13" s="14" t="s">
        <v>32</v>
      </c>
      <c r="B13" s="28" t="s">
        <v>46</v>
      </c>
      <c r="C13" s="26">
        <v>5</v>
      </c>
      <c r="D13" s="16" t="s">
        <v>53</v>
      </c>
      <c r="E13" s="16" t="s">
        <v>42</v>
      </c>
      <c r="F13" s="16" t="s">
        <v>36</v>
      </c>
      <c r="G13" s="16"/>
      <c r="H13" s="16" t="s">
        <v>37</v>
      </c>
      <c r="I13" s="17">
        <v>30</v>
      </c>
      <c r="J13" s="18">
        <v>89.99</v>
      </c>
      <c r="K13" s="18">
        <f t="shared" si="0"/>
        <v>611.93200000000002</v>
      </c>
      <c r="L13" s="19">
        <v>6.8</v>
      </c>
      <c r="M13" s="18">
        <f t="shared" si="1"/>
        <v>18357.96</v>
      </c>
      <c r="N13" s="20">
        <v>0.03</v>
      </c>
      <c r="O13" s="21">
        <v>18.63</v>
      </c>
      <c r="P13" s="18">
        <f t="shared" si="9"/>
        <v>7104.9528</v>
      </c>
      <c r="Q13" s="22">
        <f t="shared" si="2"/>
        <v>0.38702300255583999</v>
      </c>
      <c r="R13" s="18">
        <f t="shared" si="3"/>
        <v>3304.4328</v>
      </c>
      <c r="S13" s="22">
        <v>0.18</v>
      </c>
      <c r="T13" s="18">
        <f t="shared" si="4"/>
        <v>7948.5744000000004</v>
      </c>
      <c r="U13" s="22">
        <f t="shared" si="5"/>
        <v>0.43297699744416002</v>
      </c>
      <c r="V13" s="21">
        <f t="shared" si="6"/>
        <v>367.1592</v>
      </c>
      <c r="W13" s="22">
        <v>0.02</v>
      </c>
      <c r="X13" s="21">
        <v>143</v>
      </c>
      <c r="Y13" s="18">
        <f t="shared" si="10"/>
        <v>4290</v>
      </c>
      <c r="Z13" s="22">
        <f t="shared" si="13"/>
        <v>0.23368609584071401</v>
      </c>
      <c r="AA13" s="18">
        <f>10.13*I13*L13</f>
        <v>2066.52</v>
      </c>
      <c r="AB13" s="22">
        <f>AA13/M13</f>
        <v>0.11256806311812401</v>
      </c>
      <c r="AC13" s="18">
        <f t="shared" si="11"/>
        <v>734.3184</v>
      </c>
      <c r="AD13" s="24">
        <f t="shared" si="12"/>
        <v>0.04</v>
      </c>
      <c r="AE13" s="18">
        <v>0</v>
      </c>
      <c r="AF13" s="24">
        <f>AE13/M13</f>
        <v>0</v>
      </c>
      <c r="AG13" s="18">
        <f t="shared" si="7"/>
        <v>490.576799999998</v>
      </c>
      <c r="AH13" s="20">
        <f t="shared" si="8"/>
        <v>2.6722838485321799E-2</v>
      </c>
    </row>
    <row r="14" spans="1:39" s="2" customFormat="1" ht="21" hidden="1" customHeight="1">
      <c r="A14" s="14" t="s">
        <v>32</v>
      </c>
      <c r="B14" s="28" t="s">
        <v>46</v>
      </c>
      <c r="C14" s="26">
        <v>5</v>
      </c>
      <c r="D14" s="16" t="s">
        <v>54</v>
      </c>
      <c r="E14" s="16" t="s">
        <v>42</v>
      </c>
      <c r="F14" s="16" t="s">
        <v>36</v>
      </c>
      <c r="G14" s="16"/>
      <c r="H14" s="16" t="s">
        <v>37</v>
      </c>
      <c r="I14" s="17">
        <v>30</v>
      </c>
      <c r="J14" s="18">
        <v>109.99</v>
      </c>
      <c r="K14" s="18">
        <f t="shared" si="0"/>
        <v>747.93200000000002</v>
      </c>
      <c r="L14" s="19">
        <v>6.8</v>
      </c>
      <c r="M14" s="18">
        <f t="shared" si="1"/>
        <v>22437.96</v>
      </c>
      <c r="N14" s="20">
        <v>0.03</v>
      </c>
      <c r="O14" s="21">
        <v>20.149999999999999</v>
      </c>
      <c r="P14" s="18">
        <f t="shared" si="9"/>
        <v>8149.4327999999996</v>
      </c>
      <c r="Q14" s="22">
        <f t="shared" si="2"/>
        <v>0.36319847258841698</v>
      </c>
      <c r="R14" s="18">
        <f t="shared" si="3"/>
        <v>4038.8328000000001</v>
      </c>
      <c r="S14" s="22">
        <v>0.18</v>
      </c>
      <c r="T14" s="18">
        <f t="shared" si="4"/>
        <v>10249.6944</v>
      </c>
      <c r="U14" s="22">
        <f t="shared" si="5"/>
        <v>0.45680152741158297</v>
      </c>
      <c r="V14" s="21">
        <f t="shared" si="6"/>
        <v>448.75920000000002</v>
      </c>
      <c r="W14" s="22">
        <v>0.02</v>
      </c>
      <c r="X14" s="21">
        <v>148</v>
      </c>
      <c r="Y14" s="18">
        <f t="shared" si="10"/>
        <v>4440</v>
      </c>
      <c r="Z14" s="22">
        <f t="shared" si="13"/>
        <v>0.19787895156244201</v>
      </c>
      <c r="AA14" s="18">
        <f>1.11*I14*L14</f>
        <v>226.44</v>
      </c>
      <c r="AB14" s="22">
        <f>AA14/M14</f>
        <v>1.0091826529684499E-2</v>
      </c>
      <c r="AC14" s="18">
        <f t="shared" si="11"/>
        <v>897.51840000000004</v>
      </c>
      <c r="AD14" s="24">
        <f t="shared" si="12"/>
        <v>0.04</v>
      </c>
      <c r="AE14" s="18">
        <v>0</v>
      </c>
      <c r="AF14" s="24">
        <f>AE14/M14</f>
        <v>0</v>
      </c>
      <c r="AG14" s="18">
        <f t="shared" si="7"/>
        <v>4236.9768000000004</v>
      </c>
      <c r="AH14" s="20">
        <f t="shared" si="8"/>
        <v>0.18883074931945701</v>
      </c>
    </row>
    <row r="15" spans="1:39" s="1" customFormat="1" ht="21" hidden="1" customHeight="1">
      <c r="A15" s="14" t="s">
        <v>32</v>
      </c>
      <c r="B15" s="28" t="s">
        <v>46</v>
      </c>
      <c r="C15" s="26">
        <v>5</v>
      </c>
      <c r="D15" s="16" t="s">
        <v>55</v>
      </c>
      <c r="E15" s="16" t="s">
        <v>42</v>
      </c>
      <c r="F15" s="16" t="s">
        <v>36</v>
      </c>
      <c r="G15" s="16"/>
      <c r="H15" s="16" t="s">
        <v>37</v>
      </c>
      <c r="I15" s="17">
        <v>30</v>
      </c>
      <c r="J15" s="18">
        <v>129.99</v>
      </c>
      <c r="K15" s="18">
        <f t="shared" si="0"/>
        <v>883.93200000000002</v>
      </c>
      <c r="L15" s="19">
        <v>6.8</v>
      </c>
      <c r="M15" s="18">
        <f t="shared" si="1"/>
        <v>26517.96</v>
      </c>
      <c r="N15" s="20">
        <v>0.03</v>
      </c>
      <c r="O15" s="21">
        <v>20.53</v>
      </c>
      <c r="P15" s="18">
        <f t="shared" si="9"/>
        <v>8961.3528000000006</v>
      </c>
      <c r="Q15" s="22">
        <f t="shared" si="2"/>
        <v>0.33793522578659901</v>
      </c>
      <c r="R15" s="18">
        <f t="shared" si="3"/>
        <v>4773.2327999999998</v>
      </c>
      <c r="S15" s="22">
        <v>0.18</v>
      </c>
      <c r="T15" s="18">
        <f t="shared" si="4"/>
        <v>12783.374400000001</v>
      </c>
      <c r="U15" s="22">
        <f t="shared" si="5"/>
        <v>0.48206477421340099</v>
      </c>
      <c r="V15" s="21">
        <f t="shared" si="6"/>
        <v>530.35919999999999</v>
      </c>
      <c r="W15" s="22">
        <v>0.02</v>
      </c>
      <c r="X15" s="21">
        <v>165</v>
      </c>
      <c r="Y15" s="18">
        <f t="shared" si="10"/>
        <v>4950</v>
      </c>
      <c r="Z15" s="22">
        <f t="shared" si="13"/>
        <v>0.18666594262907099</v>
      </c>
      <c r="AA15" s="18">
        <f t="shared" ref="AA15:AA20" si="14">M15*AB15</f>
        <v>2121.4367999999999</v>
      </c>
      <c r="AB15" s="22">
        <v>0.08</v>
      </c>
      <c r="AC15" s="18">
        <f t="shared" si="11"/>
        <v>1060.7184</v>
      </c>
      <c r="AD15" s="24">
        <f t="shared" si="12"/>
        <v>0.04</v>
      </c>
      <c r="AE15" s="18">
        <v>0</v>
      </c>
      <c r="AF15" s="24">
        <f>AE15/M15</f>
        <v>0</v>
      </c>
      <c r="AG15" s="18">
        <f t="shared" si="7"/>
        <v>4120.8599999999997</v>
      </c>
      <c r="AH15" s="20">
        <f t="shared" si="8"/>
        <v>0.15539883158432999</v>
      </c>
      <c r="AI15" s="13"/>
      <c r="AJ15" s="13"/>
      <c r="AK15" s="13"/>
      <c r="AL15" s="13"/>
      <c r="AM15" s="13"/>
    </row>
    <row r="16" spans="1:39" s="1" customFormat="1" ht="21" hidden="1" customHeight="1">
      <c r="A16" s="29" t="s">
        <v>56</v>
      </c>
      <c r="B16" s="30" t="s">
        <v>57</v>
      </c>
      <c r="C16" s="31">
        <v>5</v>
      </c>
      <c r="D16" s="31" t="s">
        <v>58</v>
      </c>
      <c r="E16" s="31" t="s">
        <v>35</v>
      </c>
      <c r="F16" s="32" t="s">
        <v>36</v>
      </c>
      <c r="G16" s="32"/>
      <c r="H16" s="31" t="s">
        <v>43</v>
      </c>
      <c r="I16" s="33">
        <v>800</v>
      </c>
      <c r="J16" s="34">
        <v>89.99</v>
      </c>
      <c r="K16" s="34">
        <f t="shared" si="0"/>
        <v>719.92</v>
      </c>
      <c r="L16" s="19">
        <v>8</v>
      </c>
      <c r="M16" s="34">
        <f t="shared" si="1"/>
        <v>575936</v>
      </c>
      <c r="N16" s="35">
        <v>0.08</v>
      </c>
      <c r="O16" s="36">
        <v>5.87</v>
      </c>
      <c r="P16" s="34">
        <f t="shared" si="9"/>
        <v>170033.28</v>
      </c>
      <c r="Q16" s="37">
        <f t="shared" si="2"/>
        <v>0.29522946994110499</v>
      </c>
      <c r="R16" s="34">
        <f t="shared" si="3"/>
        <v>46074.879999999997</v>
      </c>
      <c r="S16" s="37">
        <v>0.08</v>
      </c>
      <c r="T16" s="18">
        <f t="shared" si="4"/>
        <v>359827.84</v>
      </c>
      <c r="U16" s="22">
        <f t="shared" si="5"/>
        <v>0.62477053005889505</v>
      </c>
      <c r="V16" s="34">
        <f t="shared" si="6"/>
        <v>5759.36</v>
      </c>
      <c r="W16" s="37">
        <v>0.01</v>
      </c>
      <c r="X16" s="36">
        <v>171.5</v>
      </c>
      <c r="Y16" s="34">
        <f t="shared" si="10"/>
        <v>137200</v>
      </c>
      <c r="Z16" s="37">
        <f t="shared" si="13"/>
        <v>0.23822091343482599</v>
      </c>
      <c r="AA16" s="34">
        <f t="shared" si="14"/>
        <v>28796.799999999999</v>
      </c>
      <c r="AB16" s="37">
        <v>0.05</v>
      </c>
      <c r="AC16" s="18">
        <f>M16*AD16</f>
        <v>17278.080000000002</v>
      </c>
      <c r="AD16" s="38">
        <v>0.03</v>
      </c>
      <c r="AE16" s="34">
        <f>J16/1.19*0.19*I16*L16</f>
        <v>91956.168067226899</v>
      </c>
      <c r="AF16" s="38">
        <f>AE16/M16</f>
        <v>0.159663865546219</v>
      </c>
      <c r="AG16" s="34">
        <f t="shared" si="7"/>
        <v>78837.431932773106</v>
      </c>
      <c r="AH16" s="35">
        <f t="shared" si="8"/>
        <v>0.136885751077851</v>
      </c>
      <c r="AI16" s="13"/>
      <c r="AJ16" s="13"/>
      <c r="AK16" s="13"/>
      <c r="AL16" s="13"/>
      <c r="AM16" s="13"/>
    </row>
    <row r="17" spans="1:39" s="1" customFormat="1" ht="21" hidden="1" customHeight="1">
      <c r="A17" s="29" t="s">
        <v>56</v>
      </c>
      <c r="B17" s="30" t="s">
        <v>59</v>
      </c>
      <c r="C17" s="31">
        <v>5</v>
      </c>
      <c r="D17" s="31" t="s">
        <v>60</v>
      </c>
      <c r="E17" s="31" t="s">
        <v>35</v>
      </c>
      <c r="F17" s="32" t="s">
        <v>36</v>
      </c>
      <c r="G17" s="32"/>
      <c r="H17" s="31" t="s">
        <v>43</v>
      </c>
      <c r="I17" s="33">
        <v>3000</v>
      </c>
      <c r="J17" s="34">
        <v>69.989999999999995</v>
      </c>
      <c r="K17" s="34">
        <f t="shared" si="0"/>
        <v>475.93200000000002</v>
      </c>
      <c r="L17" s="19">
        <v>6.8</v>
      </c>
      <c r="M17" s="34">
        <f t="shared" si="1"/>
        <v>1427796</v>
      </c>
      <c r="N17" s="35">
        <v>0.08</v>
      </c>
      <c r="O17" s="36">
        <v>11.04</v>
      </c>
      <c r="P17" s="34">
        <f t="shared" si="9"/>
        <v>553609.07999999996</v>
      </c>
      <c r="Q17" s="37">
        <f t="shared" si="2"/>
        <v>0.38773681954564898</v>
      </c>
      <c r="R17" s="34">
        <f t="shared" si="3"/>
        <v>142779.6</v>
      </c>
      <c r="S17" s="37">
        <v>0.1</v>
      </c>
      <c r="T17" s="18">
        <f t="shared" si="4"/>
        <v>731407.32</v>
      </c>
      <c r="U17" s="22">
        <f t="shared" si="5"/>
        <v>0.51226318045435104</v>
      </c>
      <c r="V17" s="34">
        <f t="shared" si="6"/>
        <v>42833.88</v>
      </c>
      <c r="W17" s="37">
        <v>0.03</v>
      </c>
      <c r="X17" s="36">
        <v>142</v>
      </c>
      <c r="Y17" s="34">
        <f t="shared" si="10"/>
        <v>426000</v>
      </c>
      <c r="Z17" s="37">
        <f t="shared" si="13"/>
        <v>0.29836195086693101</v>
      </c>
      <c r="AA17" s="34">
        <f t="shared" si="14"/>
        <v>85667.76</v>
      </c>
      <c r="AB17" s="37">
        <v>0.06</v>
      </c>
      <c r="AC17" s="18">
        <f>M17*0.04</f>
        <v>57111.839999999997</v>
      </c>
      <c r="AD17" s="38">
        <v>0.03</v>
      </c>
      <c r="AE17" s="34">
        <v>0</v>
      </c>
      <c r="AF17" s="38">
        <v>0</v>
      </c>
      <c r="AG17" s="34">
        <f t="shared" si="7"/>
        <v>119793.84</v>
      </c>
      <c r="AH17" s="35">
        <f t="shared" si="8"/>
        <v>8.3901229587419995E-2</v>
      </c>
      <c r="AI17" s="13"/>
      <c r="AJ17" s="13"/>
      <c r="AK17" s="13"/>
      <c r="AL17" s="13"/>
      <c r="AM17" s="13"/>
    </row>
    <row r="18" spans="1:39" s="1" customFormat="1" ht="21" hidden="1" customHeight="1">
      <c r="A18" s="29" t="s">
        <v>56</v>
      </c>
      <c r="B18" s="30" t="s">
        <v>59</v>
      </c>
      <c r="C18" s="31">
        <v>5</v>
      </c>
      <c r="D18" s="31" t="s">
        <v>61</v>
      </c>
      <c r="E18" s="31" t="s">
        <v>35</v>
      </c>
      <c r="F18" s="32" t="s">
        <v>36</v>
      </c>
      <c r="G18" s="32"/>
      <c r="H18" s="31" t="s">
        <v>43</v>
      </c>
      <c r="I18" s="33">
        <v>300</v>
      </c>
      <c r="J18" s="34">
        <v>79.989999999999995</v>
      </c>
      <c r="K18" s="34">
        <f t="shared" si="0"/>
        <v>543.93200000000002</v>
      </c>
      <c r="L18" s="19">
        <v>6.8</v>
      </c>
      <c r="M18" s="34">
        <f t="shared" si="1"/>
        <v>163179.6</v>
      </c>
      <c r="N18" s="35">
        <v>0.08</v>
      </c>
      <c r="O18" s="36">
        <v>15.79</v>
      </c>
      <c r="P18" s="34">
        <f t="shared" si="9"/>
        <v>69742.907999999996</v>
      </c>
      <c r="Q18" s="37">
        <f t="shared" si="2"/>
        <v>0.42739967495936998</v>
      </c>
      <c r="R18" s="34">
        <f t="shared" si="3"/>
        <v>16317.96</v>
      </c>
      <c r="S18" s="37">
        <v>0.1</v>
      </c>
      <c r="T18" s="18">
        <f t="shared" si="4"/>
        <v>77118.732000000004</v>
      </c>
      <c r="U18" s="22">
        <f t="shared" si="5"/>
        <v>0.47260032504062999</v>
      </c>
      <c r="V18" s="34">
        <f t="shared" si="6"/>
        <v>4895.3879999999999</v>
      </c>
      <c r="W18" s="37">
        <v>0.03</v>
      </c>
      <c r="X18" s="36">
        <v>170</v>
      </c>
      <c r="Y18" s="34">
        <f t="shared" si="10"/>
        <v>51000</v>
      </c>
      <c r="Z18" s="37">
        <f t="shared" si="13"/>
        <v>0.31253906738342302</v>
      </c>
      <c r="AA18" s="34">
        <f t="shared" si="14"/>
        <v>9790.7759999999998</v>
      </c>
      <c r="AB18" s="37">
        <v>0.06</v>
      </c>
      <c r="AC18" s="18">
        <f>M18*0.04</f>
        <v>6527.1840000000002</v>
      </c>
      <c r="AD18" s="38">
        <v>0.03</v>
      </c>
      <c r="AE18" s="34">
        <v>0</v>
      </c>
      <c r="AF18" s="38">
        <v>0</v>
      </c>
      <c r="AG18" s="34">
        <f t="shared" si="7"/>
        <v>4905.38399999999</v>
      </c>
      <c r="AH18" s="35">
        <f t="shared" si="8"/>
        <v>3.0061257657207099E-2</v>
      </c>
      <c r="AI18" s="13"/>
      <c r="AJ18" s="13"/>
      <c r="AK18" s="13"/>
      <c r="AL18" s="13"/>
      <c r="AM18" s="13"/>
    </row>
    <row r="19" spans="1:39" s="1" customFormat="1" ht="21" hidden="1" customHeight="1">
      <c r="A19" s="29" t="s">
        <v>56</v>
      </c>
      <c r="B19" s="30" t="s">
        <v>59</v>
      </c>
      <c r="C19" s="31">
        <v>5</v>
      </c>
      <c r="D19" s="31" t="s">
        <v>62</v>
      </c>
      <c r="E19" s="31" t="s">
        <v>35</v>
      </c>
      <c r="F19" s="32" t="s">
        <v>36</v>
      </c>
      <c r="G19" s="32"/>
      <c r="H19" s="31" t="s">
        <v>43</v>
      </c>
      <c r="I19" s="33">
        <v>2000</v>
      </c>
      <c r="J19" s="34">
        <v>79.989999999999995</v>
      </c>
      <c r="K19" s="34">
        <f t="shared" si="0"/>
        <v>543.93200000000002</v>
      </c>
      <c r="L19" s="19">
        <v>6.8</v>
      </c>
      <c r="M19" s="34">
        <f t="shared" si="1"/>
        <v>1087864</v>
      </c>
      <c r="N19" s="35">
        <v>0.08</v>
      </c>
      <c r="O19" s="36">
        <v>15.79</v>
      </c>
      <c r="P19" s="34">
        <f t="shared" si="9"/>
        <v>464952.72</v>
      </c>
      <c r="Q19" s="37">
        <f t="shared" si="2"/>
        <v>0.42739967495936998</v>
      </c>
      <c r="R19" s="34">
        <f t="shared" si="3"/>
        <v>108786.4</v>
      </c>
      <c r="S19" s="37">
        <v>0.1</v>
      </c>
      <c r="T19" s="18">
        <f t="shared" si="4"/>
        <v>514124.88</v>
      </c>
      <c r="U19" s="22">
        <f t="shared" si="5"/>
        <v>0.47260032504062999</v>
      </c>
      <c r="V19" s="34">
        <f t="shared" si="6"/>
        <v>32635.919999999998</v>
      </c>
      <c r="W19" s="37">
        <v>0.03</v>
      </c>
      <c r="X19" s="36">
        <v>170</v>
      </c>
      <c r="Y19" s="34">
        <f t="shared" si="10"/>
        <v>340000</v>
      </c>
      <c r="Z19" s="37">
        <f t="shared" si="13"/>
        <v>0.31253906738342302</v>
      </c>
      <c r="AA19" s="34">
        <f t="shared" si="14"/>
        <v>65271.839999999997</v>
      </c>
      <c r="AB19" s="37">
        <v>0.06</v>
      </c>
      <c r="AC19" s="18">
        <f>M19*0.04</f>
        <v>43514.559999999998</v>
      </c>
      <c r="AD19" s="38">
        <v>0.03</v>
      </c>
      <c r="AE19" s="34">
        <v>0</v>
      </c>
      <c r="AF19" s="38">
        <v>0</v>
      </c>
      <c r="AG19" s="34">
        <f t="shared" si="7"/>
        <v>32702.559999999899</v>
      </c>
      <c r="AH19" s="35">
        <f t="shared" si="8"/>
        <v>3.0061257657207002E-2</v>
      </c>
    </row>
    <row r="20" spans="1:39" s="1" customFormat="1" ht="21" hidden="1" customHeight="1">
      <c r="A20" s="29" t="s">
        <v>56</v>
      </c>
      <c r="B20" s="30" t="s">
        <v>59</v>
      </c>
      <c r="C20" s="31">
        <v>5</v>
      </c>
      <c r="D20" s="31" t="s">
        <v>63</v>
      </c>
      <c r="E20" s="31" t="s">
        <v>35</v>
      </c>
      <c r="F20" s="32" t="s">
        <v>36</v>
      </c>
      <c r="G20" s="32"/>
      <c r="H20" s="31" t="s">
        <v>43</v>
      </c>
      <c r="I20" s="33">
        <v>300</v>
      </c>
      <c r="J20" s="34">
        <v>79.989999999999995</v>
      </c>
      <c r="K20" s="34">
        <f t="shared" si="0"/>
        <v>543.93200000000002</v>
      </c>
      <c r="L20" s="19">
        <v>6.8</v>
      </c>
      <c r="M20" s="34">
        <f t="shared" si="1"/>
        <v>163179.6</v>
      </c>
      <c r="N20" s="35">
        <v>0.08</v>
      </c>
      <c r="O20" s="36">
        <v>14.89</v>
      </c>
      <c r="P20" s="34">
        <f t="shared" si="9"/>
        <v>67906.907999999996</v>
      </c>
      <c r="Q20" s="37">
        <f t="shared" si="2"/>
        <v>0.41614826853356701</v>
      </c>
      <c r="R20" s="34">
        <f t="shared" si="3"/>
        <v>16317.96</v>
      </c>
      <c r="S20" s="37">
        <v>0.1</v>
      </c>
      <c r="T20" s="18">
        <f t="shared" si="4"/>
        <v>78954.732000000004</v>
      </c>
      <c r="U20" s="22">
        <f t="shared" si="5"/>
        <v>0.48385173146643301</v>
      </c>
      <c r="V20" s="34">
        <f t="shared" si="6"/>
        <v>4895.3879999999999</v>
      </c>
      <c r="W20" s="37">
        <v>0.03</v>
      </c>
      <c r="X20" s="36">
        <v>155</v>
      </c>
      <c r="Y20" s="34">
        <f t="shared" si="10"/>
        <v>46500</v>
      </c>
      <c r="Z20" s="37">
        <f t="shared" si="13"/>
        <v>0.28496209084959201</v>
      </c>
      <c r="AA20" s="34">
        <f t="shared" si="14"/>
        <v>9790.7759999999998</v>
      </c>
      <c r="AB20" s="37">
        <v>0.06</v>
      </c>
      <c r="AC20" s="18">
        <f>M20*AD20</f>
        <v>4895.3879999999999</v>
      </c>
      <c r="AD20" s="38">
        <v>0.03</v>
      </c>
      <c r="AE20" s="34">
        <v>0</v>
      </c>
      <c r="AF20" s="38">
        <v>0</v>
      </c>
      <c r="AG20" s="34">
        <f t="shared" si="7"/>
        <v>12873.18</v>
      </c>
      <c r="AH20" s="35">
        <f t="shared" si="8"/>
        <v>7.88896406168417E-2</v>
      </c>
    </row>
    <row r="21" spans="1:39" s="2" customFormat="1" ht="21" hidden="1" customHeight="1">
      <c r="A21" s="29" t="s">
        <v>56</v>
      </c>
      <c r="B21" s="30" t="s">
        <v>64</v>
      </c>
      <c r="C21" s="31">
        <v>5</v>
      </c>
      <c r="D21" s="31" t="s">
        <v>65</v>
      </c>
      <c r="E21" s="31" t="s">
        <v>35</v>
      </c>
      <c r="F21" s="32" t="s">
        <v>36</v>
      </c>
      <c r="G21" s="32"/>
      <c r="H21" s="31" t="s">
        <v>37</v>
      </c>
      <c r="I21" s="33">
        <v>350</v>
      </c>
      <c r="J21" s="34">
        <v>129.99</v>
      </c>
      <c r="K21" s="34">
        <f t="shared" si="0"/>
        <v>1039.92</v>
      </c>
      <c r="L21" s="19">
        <v>8</v>
      </c>
      <c r="M21" s="34">
        <f t="shared" si="1"/>
        <v>363972</v>
      </c>
      <c r="N21" s="35">
        <v>0.2</v>
      </c>
      <c r="O21" s="36">
        <v>8.49</v>
      </c>
      <c r="P21" s="34">
        <f t="shared" si="9"/>
        <v>151162.20000000001</v>
      </c>
      <c r="Q21" s="37">
        <f t="shared" si="2"/>
        <v>0.41531271636279699</v>
      </c>
      <c r="R21" s="34">
        <f t="shared" si="3"/>
        <v>36397.199999999997</v>
      </c>
      <c r="S21" s="37">
        <v>0.1</v>
      </c>
      <c r="T21" s="18">
        <f t="shared" si="4"/>
        <v>176412.6</v>
      </c>
      <c r="U21" s="22">
        <f t="shared" si="5"/>
        <v>0.48468728363720298</v>
      </c>
      <c r="V21" s="34">
        <f t="shared" si="6"/>
        <v>7279.44</v>
      </c>
      <c r="W21" s="37">
        <v>0.02</v>
      </c>
      <c r="X21" s="36">
        <v>186</v>
      </c>
      <c r="Y21" s="34">
        <f t="shared" si="10"/>
        <v>65100</v>
      </c>
      <c r="Z21" s="37">
        <f t="shared" si="13"/>
        <v>0.178859912300946</v>
      </c>
      <c r="AA21" s="34">
        <f>7*I21*L21</f>
        <v>19600</v>
      </c>
      <c r="AB21" s="37">
        <f>AA21/M21</f>
        <v>5.3850296176629002E-2</v>
      </c>
      <c r="AC21" s="18">
        <f t="shared" ref="AC21:AC29" si="15">M21*0.04</f>
        <v>14558.88</v>
      </c>
      <c r="AD21" s="38">
        <v>0.03</v>
      </c>
      <c r="AE21" s="34">
        <f>(J21*(19%/(1+19%)))*I21*L21</f>
        <v>58113.176470588201</v>
      </c>
      <c r="AF21" s="38">
        <f t="shared" ref="AF21:AF26" si="16">AE21/M21</f>
        <v>0.159663865546218</v>
      </c>
      <c r="AG21" s="34">
        <f t="shared" si="7"/>
        <v>11761.103529411799</v>
      </c>
      <c r="AH21" s="35">
        <f t="shared" si="8"/>
        <v>3.2313209613409201E-2</v>
      </c>
    </row>
    <row r="22" spans="1:39" s="2" customFormat="1" ht="21" hidden="1" customHeight="1">
      <c r="A22" s="29" t="s">
        <v>56</v>
      </c>
      <c r="B22" s="39" t="s">
        <v>64</v>
      </c>
      <c r="C22" s="31">
        <v>5</v>
      </c>
      <c r="D22" s="31" t="s">
        <v>66</v>
      </c>
      <c r="E22" s="31" t="s">
        <v>35</v>
      </c>
      <c r="F22" s="32" t="s">
        <v>36</v>
      </c>
      <c r="G22" s="32"/>
      <c r="H22" s="31" t="s">
        <v>43</v>
      </c>
      <c r="I22" s="33">
        <v>500</v>
      </c>
      <c r="J22" s="34">
        <v>99.99</v>
      </c>
      <c r="K22" s="34">
        <f t="shared" si="0"/>
        <v>919.90800000000002</v>
      </c>
      <c r="L22" s="19">
        <v>9.1999999999999993</v>
      </c>
      <c r="M22" s="34">
        <f t="shared" si="1"/>
        <v>459954</v>
      </c>
      <c r="N22" s="35">
        <v>0.2</v>
      </c>
      <c r="O22" s="36">
        <v>6.45</v>
      </c>
      <c r="P22" s="34">
        <f t="shared" si="9"/>
        <v>190653.9</v>
      </c>
      <c r="Q22" s="37">
        <f t="shared" si="2"/>
        <v>0.41450645064506397</v>
      </c>
      <c r="R22" s="34">
        <f t="shared" si="3"/>
        <v>45995.4</v>
      </c>
      <c r="S22" s="37">
        <v>0.1</v>
      </c>
      <c r="T22" s="18">
        <f t="shared" si="4"/>
        <v>223304.7</v>
      </c>
      <c r="U22" s="22">
        <f t="shared" si="5"/>
        <v>0.48549354935493499</v>
      </c>
      <c r="V22" s="34">
        <f t="shared" si="6"/>
        <v>9199.08</v>
      </c>
      <c r="W22" s="37">
        <v>0.02</v>
      </c>
      <c r="X22" s="36">
        <v>170.5</v>
      </c>
      <c r="Y22" s="34">
        <f t="shared" si="10"/>
        <v>85250</v>
      </c>
      <c r="Z22" s="37">
        <f t="shared" si="13"/>
        <v>0.18534462141866401</v>
      </c>
      <c r="AA22" s="34">
        <f>10.13*I22*L22</f>
        <v>46598</v>
      </c>
      <c r="AB22" s="37">
        <f>AA22/M22</f>
        <v>0.101310131013101</v>
      </c>
      <c r="AC22" s="18">
        <f t="shared" si="15"/>
        <v>18398.16</v>
      </c>
      <c r="AD22" s="38">
        <v>0.03</v>
      </c>
      <c r="AE22" s="34">
        <f>(J22*(20%/(1+20%)))*I22*L22</f>
        <v>76659</v>
      </c>
      <c r="AF22" s="38">
        <f t="shared" si="16"/>
        <v>0.16666666666666699</v>
      </c>
      <c r="AG22" s="34">
        <f t="shared" si="7"/>
        <v>-12799.54</v>
      </c>
      <c r="AH22" s="35">
        <f t="shared" si="8"/>
        <v>-2.78278697434961E-2</v>
      </c>
    </row>
    <row r="23" spans="1:39" s="1" customFormat="1" ht="21" hidden="1" customHeight="1">
      <c r="A23" s="29" t="s">
        <v>56</v>
      </c>
      <c r="B23" s="30" t="s">
        <v>57</v>
      </c>
      <c r="C23" s="31">
        <v>5</v>
      </c>
      <c r="D23" s="31" t="s">
        <v>67</v>
      </c>
      <c r="E23" s="31" t="s">
        <v>35</v>
      </c>
      <c r="F23" s="32" t="s">
        <v>36</v>
      </c>
      <c r="G23" s="32"/>
      <c r="H23" s="31" t="s">
        <v>68</v>
      </c>
      <c r="I23" s="33">
        <v>300</v>
      </c>
      <c r="J23" s="34">
        <v>164.99</v>
      </c>
      <c r="K23" s="34">
        <f t="shared" si="0"/>
        <v>1319.92</v>
      </c>
      <c r="L23" s="19">
        <v>8</v>
      </c>
      <c r="M23" s="34">
        <f t="shared" si="1"/>
        <v>395976</v>
      </c>
      <c r="N23" s="35">
        <v>0.04</v>
      </c>
      <c r="O23" s="36">
        <v>15</v>
      </c>
      <c r="P23" s="34">
        <f t="shared" si="9"/>
        <v>111235.44</v>
      </c>
      <c r="Q23" s="37">
        <f t="shared" si="2"/>
        <v>0.280914600884902</v>
      </c>
      <c r="R23" s="34">
        <f t="shared" si="3"/>
        <v>47517.120000000003</v>
      </c>
      <c r="S23" s="37">
        <v>0.12</v>
      </c>
      <c r="T23" s="18">
        <f t="shared" si="4"/>
        <v>237223.44</v>
      </c>
      <c r="U23" s="22">
        <f t="shared" si="5"/>
        <v>0.59908539911509795</v>
      </c>
      <c r="V23" s="34">
        <f t="shared" si="6"/>
        <v>3959.76</v>
      </c>
      <c r="W23" s="37">
        <v>0.01</v>
      </c>
      <c r="X23" s="36">
        <v>411</v>
      </c>
      <c r="Y23" s="34">
        <f t="shared" si="10"/>
        <v>123300</v>
      </c>
      <c r="Z23" s="37">
        <f t="shared" si="13"/>
        <v>0.31138250803078998</v>
      </c>
      <c r="AA23" s="34">
        <f>M23*AB23</f>
        <v>31678.080000000002</v>
      </c>
      <c r="AB23" s="37">
        <v>0.08</v>
      </c>
      <c r="AC23" s="18">
        <f t="shared" si="15"/>
        <v>15839.04</v>
      </c>
      <c r="AD23" s="38">
        <v>0.03</v>
      </c>
      <c r="AE23" s="34">
        <f>J23/1.19*0.19*I23*L23</f>
        <v>63223.058823529398</v>
      </c>
      <c r="AF23" s="38">
        <f t="shared" si="16"/>
        <v>0.159663865546218</v>
      </c>
      <c r="AG23" s="34">
        <f t="shared" si="7"/>
        <v>-776.49882352940801</v>
      </c>
      <c r="AH23" s="35">
        <f t="shared" si="8"/>
        <v>-1.9609744619103401E-3</v>
      </c>
      <c r="AI23" s="13"/>
      <c r="AJ23" s="13"/>
      <c r="AK23" s="13"/>
      <c r="AL23" s="13"/>
      <c r="AM23" s="13"/>
    </row>
    <row r="24" spans="1:39" s="1" customFormat="1" ht="21" hidden="1" customHeight="1">
      <c r="A24" s="29" t="s">
        <v>56</v>
      </c>
      <c r="B24" s="30" t="s">
        <v>57</v>
      </c>
      <c r="C24" s="31">
        <v>5</v>
      </c>
      <c r="D24" s="31" t="s">
        <v>69</v>
      </c>
      <c r="E24" s="31" t="s">
        <v>35</v>
      </c>
      <c r="F24" s="32" t="s">
        <v>36</v>
      </c>
      <c r="G24" s="32"/>
      <c r="H24" s="31" t="s">
        <v>70</v>
      </c>
      <c r="I24" s="33">
        <v>200</v>
      </c>
      <c r="J24" s="34">
        <v>35.99</v>
      </c>
      <c r="K24" s="34">
        <f t="shared" si="0"/>
        <v>287.92</v>
      </c>
      <c r="L24" s="19">
        <v>8</v>
      </c>
      <c r="M24" s="34">
        <f t="shared" si="1"/>
        <v>57584</v>
      </c>
      <c r="N24" s="35">
        <v>0.15</v>
      </c>
      <c r="O24" s="36">
        <v>5.18</v>
      </c>
      <c r="P24" s="34">
        <f t="shared" si="9"/>
        <v>25563.200000000001</v>
      </c>
      <c r="Q24" s="37">
        <f t="shared" si="2"/>
        <v>0.44392886913031399</v>
      </c>
      <c r="R24" s="34">
        <f t="shared" si="3"/>
        <v>6910.08</v>
      </c>
      <c r="S24" s="37">
        <v>0.12</v>
      </c>
      <c r="T24" s="18">
        <f t="shared" si="4"/>
        <v>25110.720000000001</v>
      </c>
      <c r="U24" s="22">
        <f t="shared" si="5"/>
        <v>0.43607113086968602</v>
      </c>
      <c r="V24" s="40">
        <f t="shared" si="6"/>
        <v>0</v>
      </c>
      <c r="W24" s="41">
        <v>0</v>
      </c>
      <c r="X24" s="42">
        <v>60</v>
      </c>
      <c r="Y24" s="40">
        <f t="shared" si="10"/>
        <v>12000</v>
      </c>
      <c r="Z24" s="41">
        <f t="shared" si="13"/>
        <v>0.20839121978327299</v>
      </c>
      <c r="AA24" s="40">
        <f>M24*AB24</f>
        <v>4606.72</v>
      </c>
      <c r="AB24" s="41">
        <v>0.08</v>
      </c>
      <c r="AC24" s="40">
        <f t="shared" si="15"/>
        <v>2303.36</v>
      </c>
      <c r="AD24" s="43">
        <v>0.02</v>
      </c>
      <c r="AE24" s="40">
        <f>J24/1.19*0.19*I24*L24</f>
        <v>9194.0840336134497</v>
      </c>
      <c r="AF24" s="43">
        <f t="shared" si="16"/>
        <v>0.159663865546219</v>
      </c>
      <c r="AG24" s="40">
        <f t="shared" si="7"/>
        <v>-2993.4440336134498</v>
      </c>
      <c r="AH24" s="44">
        <f t="shared" si="8"/>
        <v>-5.1983954459805699E-2</v>
      </c>
      <c r="AI24" s="13"/>
      <c r="AJ24" s="13"/>
      <c r="AK24" s="13"/>
      <c r="AL24" s="13"/>
      <c r="AM24" s="13"/>
    </row>
    <row r="25" spans="1:39" s="1" customFormat="1" ht="21" hidden="1" customHeight="1">
      <c r="A25" s="29" t="s">
        <v>56</v>
      </c>
      <c r="B25" s="30" t="s">
        <v>57</v>
      </c>
      <c r="C25" s="31">
        <v>5</v>
      </c>
      <c r="D25" s="31" t="s">
        <v>71</v>
      </c>
      <c r="E25" s="31" t="s">
        <v>35</v>
      </c>
      <c r="F25" s="32" t="s">
        <v>36</v>
      </c>
      <c r="G25" s="32"/>
      <c r="H25" s="31" t="s">
        <v>43</v>
      </c>
      <c r="I25" s="33">
        <v>300</v>
      </c>
      <c r="J25" s="34">
        <v>79.989999999999995</v>
      </c>
      <c r="K25" s="34">
        <f t="shared" si="0"/>
        <v>639.91999999999996</v>
      </c>
      <c r="L25" s="19">
        <v>8</v>
      </c>
      <c r="M25" s="34">
        <f t="shared" si="1"/>
        <v>191976</v>
      </c>
      <c r="N25" s="35">
        <v>0.15</v>
      </c>
      <c r="O25" s="36">
        <v>8.6</v>
      </c>
      <c r="P25" s="34">
        <f t="shared" si="9"/>
        <v>78232.800000000003</v>
      </c>
      <c r="Q25" s="37">
        <f t="shared" si="2"/>
        <v>0.40751343917989702</v>
      </c>
      <c r="R25" s="34">
        <f t="shared" si="3"/>
        <v>26876.639999999999</v>
      </c>
      <c r="S25" s="37">
        <v>0.14000000000000001</v>
      </c>
      <c r="T25" s="18">
        <f t="shared" si="4"/>
        <v>86866.559999999998</v>
      </c>
      <c r="U25" s="22">
        <f t="shared" si="5"/>
        <v>0.45248656082010302</v>
      </c>
      <c r="V25" s="40">
        <f t="shared" si="6"/>
        <v>1919.76</v>
      </c>
      <c r="W25" s="41">
        <v>0.01</v>
      </c>
      <c r="X25" s="42">
        <v>142</v>
      </c>
      <c r="Y25" s="40">
        <f t="shared" si="10"/>
        <v>42600</v>
      </c>
      <c r="Z25" s="41">
        <f t="shared" si="13"/>
        <v>0.22190273784223</v>
      </c>
      <c r="AA25" s="40">
        <f>M25*AB25</f>
        <v>15358.08</v>
      </c>
      <c r="AB25" s="41">
        <v>0.08</v>
      </c>
      <c r="AC25" s="40">
        <f t="shared" si="15"/>
        <v>7679.04</v>
      </c>
      <c r="AD25" s="43">
        <v>0.03</v>
      </c>
      <c r="AE25" s="40">
        <f>J25/1.19*0.19*I25*L25</f>
        <v>30651.6302521008</v>
      </c>
      <c r="AF25" s="43">
        <f t="shared" si="16"/>
        <v>0.159663865546218</v>
      </c>
      <c r="AG25" s="40">
        <f t="shared" si="7"/>
        <v>-11341.9502521008</v>
      </c>
      <c r="AH25" s="44">
        <f t="shared" si="8"/>
        <v>-5.9080042568346001E-2</v>
      </c>
      <c r="AI25" s="13"/>
      <c r="AJ25" s="13"/>
      <c r="AK25" s="13"/>
      <c r="AL25" s="13"/>
      <c r="AM25" s="13"/>
    </row>
    <row r="26" spans="1:39" s="2" customFormat="1" ht="21" hidden="1" customHeight="1">
      <c r="A26" s="29" t="s">
        <v>56</v>
      </c>
      <c r="B26" s="30" t="s">
        <v>72</v>
      </c>
      <c r="C26" s="31">
        <v>5</v>
      </c>
      <c r="D26" s="31" t="s">
        <v>73</v>
      </c>
      <c r="E26" s="31" t="s">
        <v>35</v>
      </c>
      <c r="F26" s="32" t="s">
        <v>36</v>
      </c>
      <c r="G26" s="32"/>
      <c r="H26" s="31" t="s">
        <v>43</v>
      </c>
      <c r="I26" s="33">
        <v>300</v>
      </c>
      <c r="J26" s="34">
        <v>59.99</v>
      </c>
      <c r="K26" s="34">
        <f t="shared" si="0"/>
        <v>551.90800000000002</v>
      </c>
      <c r="L26" s="19">
        <v>9.1999999999999993</v>
      </c>
      <c r="M26" s="34">
        <f t="shared" si="1"/>
        <v>165572.4</v>
      </c>
      <c r="N26" s="35">
        <v>7.0000000000000007E-2</v>
      </c>
      <c r="O26" s="36">
        <v>6.11</v>
      </c>
      <c r="P26" s="34">
        <f t="shared" si="9"/>
        <v>53289.527999999998</v>
      </c>
      <c r="Q26" s="37">
        <f t="shared" si="2"/>
        <v>0.321850308384731</v>
      </c>
      <c r="R26" s="34">
        <f t="shared" si="3"/>
        <v>16557.240000000002</v>
      </c>
      <c r="S26" s="37">
        <v>0.1</v>
      </c>
      <c r="T26" s="18">
        <f t="shared" si="4"/>
        <v>95725.631999999998</v>
      </c>
      <c r="U26" s="22">
        <f t="shared" si="5"/>
        <v>0.57814969161526897</v>
      </c>
      <c r="V26" s="40">
        <f t="shared" si="6"/>
        <v>3311.4479999999999</v>
      </c>
      <c r="W26" s="41">
        <v>0.02</v>
      </c>
      <c r="X26" s="42">
        <v>142</v>
      </c>
      <c r="Y26" s="40">
        <f t="shared" si="10"/>
        <v>42600</v>
      </c>
      <c r="Z26" s="41">
        <f t="shared" si="13"/>
        <v>0.25728925835465299</v>
      </c>
      <c r="AA26" s="40">
        <f>6.11*I26*L26</f>
        <v>16863.599999999999</v>
      </c>
      <c r="AB26" s="41">
        <v>7.0000000000000007E-2</v>
      </c>
      <c r="AC26" s="40">
        <f t="shared" si="15"/>
        <v>6622.8959999999997</v>
      </c>
      <c r="AD26" s="43">
        <v>0.03</v>
      </c>
      <c r="AE26" s="40">
        <f>(M26-M26*0.2)*0.2</f>
        <v>26491.583999999999</v>
      </c>
      <c r="AF26" s="43">
        <f t="shared" si="16"/>
        <v>0.16</v>
      </c>
      <c r="AG26" s="40">
        <f t="shared" si="7"/>
        <v>-163.89600000000399</v>
      </c>
      <c r="AH26" s="44">
        <f t="shared" si="8"/>
        <v>-9.8987512411491505E-4</v>
      </c>
    </row>
    <row r="27" spans="1:39" s="2" customFormat="1" ht="21" hidden="1" customHeight="1">
      <c r="A27" s="29" t="s">
        <v>56</v>
      </c>
      <c r="B27" s="45" t="s">
        <v>72</v>
      </c>
      <c r="C27" s="46">
        <v>5</v>
      </c>
      <c r="D27" s="46" t="s">
        <v>74</v>
      </c>
      <c r="E27" s="46" t="s">
        <v>75</v>
      </c>
      <c r="F27" s="46" t="s">
        <v>36</v>
      </c>
      <c r="G27" s="46" t="s">
        <v>76</v>
      </c>
      <c r="H27" s="46" t="s">
        <v>43</v>
      </c>
      <c r="I27" s="47">
        <v>30</v>
      </c>
      <c r="J27" s="40">
        <v>299.99</v>
      </c>
      <c r="K27" s="40">
        <f t="shared" si="0"/>
        <v>2039.932</v>
      </c>
      <c r="L27" s="48">
        <v>6.8</v>
      </c>
      <c r="M27" s="40">
        <f t="shared" si="1"/>
        <v>61197.96</v>
      </c>
      <c r="N27" s="44">
        <v>0.2</v>
      </c>
      <c r="O27" s="42">
        <v>22.92</v>
      </c>
      <c r="P27" s="40">
        <f>(J27*0.15*I27+O27*I27)*L27+J27*I27*N27</f>
        <v>15655.314</v>
      </c>
      <c r="Q27" s="41">
        <f t="shared" si="2"/>
        <v>0.25581431145744099</v>
      </c>
      <c r="R27" s="40">
        <f t="shared" si="3"/>
        <v>18359.387999999999</v>
      </c>
      <c r="S27" s="41">
        <v>0.3</v>
      </c>
      <c r="T27" s="18">
        <f t="shared" si="4"/>
        <v>27183.258000000002</v>
      </c>
      <c r="U27" s="22">
        <f t="shared" si="5"/>
        <v>0.44418568854255902</v>
      </c>
      <c r="V27" s="40">
        <f t="shared" si="6"/>
        <v>12239.592000000001</v>
      </c>
      <c r="W27" s="41">
        <v>0.2</v>
      </c>
      <c r="X27" s="42">
        <v>605</v>
      </c>
      <c r="Y27" s="40">
        <f t="shared" si="10"/>
        <v>18150</v>
      </c>
      <c r="Z27" s="41">
        <f t="shared" si="13"/>
        <v>0.29657851340142699</v>
      </c>
      <c r="AA27" s="40">
        <f>M27*AB27</f>
        <v>3671.8775999999998</v>
      </c>
      <c r="AB27" s="41">
        <v>0.06</v>
      </c>
      <c r="AC27" s="40">
        <f t="shared" si="15"/>
        <v>2447.9184</v>
      </c>
      <c r="AD27" s="43">
        <v>0.03</v>
      </c>
      <c r="AE27" s="40">
        <v>0</v>
      </c>
      <c r="AF27" s="43">
        <v>0</v>
      </c>
      <c r="AG27" s="40">
        <f t="shared" si="7"/>
        <v>-9326.1299999999992</v>
      </c>
      <c r="AH27" s="44">
        <f t="shared" si="8"/>
        <v>-0.15239282485886799</v>
      </c>
    </row>
    <row r="28" spans="1:39" s="1" customFormat="1" ht="21" hidden="1" customHeight="1">
      <c r="A28" s="49" t="s">
        <v>32</v>
      </c>
      <c r="B28" s="49" t="s">
        <v>33</v>
      </c>
      <c r="C28" s="50">
        <v>6</v>
      </c>
      <c r="D28" s="50" t="s">
        <v>34</v>
      </c>
      <c r="E28" s="50" t="s">
        <v>35</v>
      </c>
      <c r="F28" s="50" t="s">
        <v>36</v>
      </c>
      <c r="G28" s="50"/>
      <c r="H28" s="50" t="s">
        <v>37</v>
      </c>
      <c r="I28" s="51">
        <v>1800</v>
      </c>
      <c r="J28" s="52">
        <v>124.99</v>
      </c>
      <c r="K28" s="52">
        <f>J28*L28</f>
        <v>849.93200000000002</v>
      </c>
      <c r="L28" s="53">
        <v>6.8</v>
      </c>
      <c r="M28" s="52">
        <f>I28*K28</f>
        <v>1529877.6</v>
      </c>
      <c r="N28" s="54">
        <v>0.16</v>
      </c>
      <c r="O28" s="55">
        <v>21.4</v>
      </c>
      <c r="P28" s="52">
        <f>(J28*0.15*I28+O28*I28)*L28+M28*N28</f>
        <v>736198.05599999998</v>
      </c>
      <c r="Q28" s="56">
        <f>P28/M28</f>
        <v>0.481213697095768</v>
      </c>
      <c r="R28" s="52">
        <f>M28*S28</f>
        <v>152987.76</v>
      </c>
      <c r="S28" s="56">
        <v>0.1</v>
      </c>
      <c r="T28" s="52">
        <f>M28-P28-R28</f>
        <v>640691.78399999999</v>
      </c>
      <c r="U28" s="56">
        <f>T28/M28</f>
        <v>0.41878630290423202</v>
      </c>
      <c r="V28" s="52">
        <f>M28*W28</f>
        <v>30597.552</v>
      </c>
      <c r="W28" s="56">
        <v>0.02</v>
      </c>
      <c r="X28" s="55"/>
      <c r="Y28" s="52">
        <f>192*I28</f>
        <v>345600</v>
      </c>
      <c r="Z28" s="56">
        <f t="shared" si="13"/>
        <v>0.22590042497517501</v>
      </c>
      <c r="AA28" s="52">
        <f>M28*AB28</f>
        <v>122390.208</v>
      </c>
      <c r="AB28" s="56">
        <v>0.08</v>
      </c>
      <c r="AC28" s="52">
        <f t="shared" si="15"/>
        <v>61195.103999999999</v>
      </c>
      <c r="AD28" s="57">
        <v>0.03</v>
      </c>
      <c r="AE28" s="52">
        <v>0</v>
      </c>
      <c r="AF28" s="57">
        <v>0</v>
      </c>
      <c r="AG28" s="52">
        <f>T28-V28-Y28-AA28-AC28-AE28</f>
        <v>80908.919999999896</v>
      </c>
      <c r="AH28" s="54">
        <f>AG28/M28</f>
        <v>5.2885877929057801E-2</v>
      </c>
    </row>
    <row r="29" spans="1:39" s="2" customFormat="1" ht="21" hidden="1" customHeight="1">
      <c r="A29" s="49" t="s">
        <v>32</v>
      </c>
      <c r="B29" s="58" t="s">
        <v>38</v>
      </c>
      <c r="C29" s="59">
        <v>6</v>
      </c>
      <c r="D29" s="60" t="s">
        <v>39</v>
      </c>
      <c r="E29" s="60" t="s">
        <v>35</v>
      </c>
      <c r="F29" s="60" t="s">
        <v>36</v>
      </c>
      <c r="G29" s="60"/>
      <c r="H29" s="60" t="s">
        <v>37</v>
      </c>
      <c r="I29" s="51">
        <v>1000</v>
      </c>
      <c r="J29" s="52">
        <v>99.99</v>
      </c>
      <c r="K29" s="61">
        <f>J29*L29</f>
        <v>679.93200000000002</v>
      </c>
      <c r="L29" s="53">
        <v>6.8</v>
      </c>
      <c r="M29" s="61">
        <f>I29*K29</f>
        <v>679932</v>
      </c>
      <c r="N29" s="54">
        <v>0.15</v>
      </c>
      <c r="O29" s="55">
        <v>16.350000000000001</v>
      </c>
      <c r="P29" s="52">
        <f>(J29*0.15*I29+O29*I29)*L29+M29*N29</f>
        <v>315159.59999999998</v>
      </c>
      <c r="Q29" s="56">
        <f>P29/M29</f>
        <v>0.46351635163516403</v>
      </c>
      <c r="R29" s="61">
        <f>M29*S29</f>
        <v>67993.2</v>
      </c>
      <c r="S29" s="56">
        <v>0.1</v>
      </c>
      <c r="T29" s="52">
        <f>M29-P29-R29</f>
        <v>296779.2</v>
      </c>
      <c r="U29" s="56">
        <f>T29/M29</f>
        <v>0.436483648364836</v>
      </c>
      <c r="V29" s="55">
        <f>M29*W29</f>
        <v>20397.96</v>
      </c>
      <c r="W29" s="56">
        <v>0.03</v>
      </c>
      <c r="X29" s="55">
        <v>157</v>
      </c>
      <c r="Y29" s="52">
        <f>X29*I29</f>
        <v>157000</v>
      </c>
      <c r="Z29" s="56">
        <f t="shared" si="13"/>
        <v>0.230905443485525</v>
      </c>
      <c r="AA29" s="61">
        <f>4.3*I29*L29</f>
        <v>29240</v>
      </c>
      <c r="AB29" s="56">
        <f>AA29/M29</f>
        <v>4.3004300430043003E-2</v>
      </c>
      <c r="AC29" s="52">
        <f t="shared" si="15"/>
        <v>27197.279999999999</v>
      </c>
      <c r="AD29" s="57">
        <f>AC29/M29</f>
        <v>0.04</v>
      </c>
      <c r="AE29" s="52">
        <v>0</v>
      </c>
      <c r="AF29" s="57">
        <f>AE29/M29</f>
        <v>0</v>
      </c>
      <c r="AG29" s="52">
        <f>T29-V29-Y29-AA29-AC29-AE29</f>
        <v>62943.959999999897</v>
      </c>
      <c r="AH29" s="54">
        <f>AG29/M29</f>
        <v>9.2573904449268302E-2</v>
      </c>
    </row>
    <row r="30" spans="1:39" s="2" customFormat="1" ht="21" hidden="1" customHeight="1">
      <c r="A30" s="14" t="s">
        <v>32</v>
      </c>
      <c r="B30" s="62" t="s">
        <v>40</v>
      </c>
      <c r="C30" s="63">
        <v>6</v>
      </c>
      <c r="D30" s="64" t="s">
        <v>41</v>
      </c>
      <c r="E30" s="64" t="s">
        <v>42</v>
      </c>
      <c r="F30" s="64" t="s">
        <v>36</v>
      </c>
      <c r="G30" s="64"/>
      <c r="H30" s="64" t="s">
        <v>43</v>
      </c>
      <c r="I30" s="65">
        <v>230</v>
      </c>
      <c r="J30" s="66">
        <v>71.989999999999995</v>
      </c>
      <c r="K30" s="66">
        <f t="shared" ref="K30:K57" si="17">J30*L30</f>
        <v>489.53199999999998</v>
      </c>
      <c r="L30" s="19">
        <v>6.8</v>
      </c>
      <c r="M30" s="66">
        <f t="shared" ref="M30:M58" si="18">I30*K30</f>
        <v>112592.36</v>
      </c>
      <c r="N30" s="67">
        <v>0.04</v>
      </c>
      <c r="O30" s="68">
        <v>17.690000000000001</v>
      </c>
      <c r="P30" s="66">
        <f t="shared" ref="P30:P56" si="19">(J30*0.15*I30+O30*I30)*L30+M30*N30</f>
        <v>49059.708400000003</v>
      </c>
      <c r="Q30" s="23">
        <f t="shared" ref="Q30:Q57" si="20">P30/M30</f>
        <v>0.435728573412974</v>
      </c>
      <c r="R30" s="66">
        <f t="shared" ref="R30:R58" si="21">M30*S30</f>
        <v>9007.3888000000006</v>
      </c>
      <c r="S30" s="23">
        <v>0.08</v>
      </c>
      <c r="T30" s="18">
        <f t="shared" ref="T30:T58" si="22">M30-P30-R30</f>
        <v>54525.262799999997</v>
      </c>
      <c r="U30" s="22">
        <f t="shared" ref="U30:U58" si="23">T30/M30</f>
        <v>0.48427142658702599</v>
      </c>
      <c r="V30" s="68">
        <f t="shared" ref="V30:V58" si="24">M30*W30</f>
        <v>2251.8472000000002</v>
      </c>
      <c r="W30" s="23">
        <v>0.02</v>
      </c>
      <c r="X30" s="68">
        <v>129.5</v>
      </c>
      <c r="Y30" s="66">
        <f t="shared" ref="Y30:Y75" si="25">X30*I30</f>
        <v>29785</v>
      </c>
      <c r="Z30" s="23">
        <f>Y30/M30</f>
        <v>0.26453837542795999</v>
      </c>
      <c r="AA30" s="66">
        <f>10.13*I30*L30</f>
        <v>15843.32</v>
      </c>
      <c r="AB30" s="23">
        <f>AA30/M30</f>
        <v>0.14071398805389601</v>
      </c>
      <c r="AC30" s="18">
        <f t="shared" ref="AC30:AC45" si="26">M30*0.04</f>
        <v>4503.6944000000003</v>
      </c>
      <c r="AD30" s="69">
        <f t="shared" ref="AD30:AD41" si="27">AC30/M30</f>
        <v>0.04</v>
      </c>
      <c r="AE30" s="66">
        <v>0</v>
      </c>
      <c r="AF30" s="69">
        <f>AE30/M30</f>
        <v>0</v>
      </c>
      <c r="AG30" s="66">
        <f t="shared" ref="AG30:AG58" si="28">T30-V30-Y30-AA30-AC30-AE30</f>
        <v>2141.4011999999898</v>
      </c>
      <c r="AH30" s="67">
        <f t="shared" ref="AH30:AH58" si="29">AG30/M30</f>
        <v>1.9019063105169799E-2</v>
      </c>
    </row>
    <row r="31" spans="1:39" s="1" customFormat="1" ht="21" hidden="1" customHeight="1">
      <c r="A31" s="14" t="s">
        <v>32</v>
      </c>
      <c r="B31" s="62" t="s">
        <v>40</v>
      </c>
      <c r="C31" s="63">
        <v>6</v>
      </c>
      <c r="D31" s="64" t="s">
        <v>44</v>
      </c>
      <c r="E31" s="64" t="s">
        <v>42</v>
      </c>
      <c r="F31" s="64" t="s">
        <v>36</v>
      </c>
      <c r="G31" s="64"/>
      <c r="H31" s="64" t="s">
        <v>43</v>
      </c>
      <c r="I31" s="65">
        <v>130</v>
      </c>
      <c r="J31" s="66">
        <v>119.99</v>
      </c>
      <c r="K31" s="66">
        <f t="shared" si="17"/>
        <v>815.93200000000002</v>
      </c>
      <c r="L31" s="19">
        <v>6.8</v>
      </c>
      <c r="M31" s="66">
        <f t="shared" si="18"/>
        <v>106071.16</v>
      </c>
      <c r="N31" s="67">
        <v>0.04</v>
      </c>
      <c r="O31" s="68">
        <v>19.59</v>
      </c>
      <c r="P31" s="66">
        <f t="shared" si="19"/>
        <v>37471.080399999999</v>
      </c>
      <c r="Q31" s="23">
        <f t="shared" si="20"/>
        <v>0.35326360530044199</v>
      </c>
      <c r="R31" s="66">
        <f t="shared" si="21"/>
        <v>8485.6928000000007</v>
      </c>
      <c r="S31" s="23">
        <v>0.08</v>
      </c>
      <c r="T31" s="18">
        <f t="shared" si="22"/>
        <v>60114.3868</v>
      </c>
      <c r="U31" s="22">
        <f t="shared" si="23"/>
        <v>0.56673639469955805</v>
      </c>
      <c r="V31" s="68">
        <f t="shared" si="24"/>
        <v>2121.4232000000002</v>
      </c>
      <c r="W31" s="23">
        <v>0.02</v>
      </c>
      <c r="X31" s="68">
        <v>163.5</v>
      </c>
      <c r="Y31" s="66">
        <f t="shared" si="25"/>
        <v>21255</v>
      </c>
      <c r="Z31" s="23">
        <f>Y31/M31</f>
        <v>0.200384345754303</v>
      </c>
      <c r="AA31" s="66">
        <f>M31*AB31</f>
        <v>9546.4043999999994</v>
      </c>
      <c r="AB31" s="23">
        <v>0.09</v>
      </c>
      <c r="AC31" s="18">
        <f t="shared" si="26"/>
        <v>4242.8464000000004</v>
      </c>
      <c r="AD31" s="69">
        <f t="shared" si="27"/>
        <v>0.04</v>
      </c>
      <c r="AE31" s="66">
        <v>0</v>
      </c>
      <c r="AF31" s="69">
        <f>AE31/M31</f>
        <v>0</v>
      </c>
      <c r="AG31" s="66">
        <f t="shared" si="28"/>
        <v>22948.712800000001</v>
      </c>
      <c r="AH31" s="67">
        <f t="shared" si="29"/>
        <v>0.216352048945255</v>
      </c>
      <c r="AI31" s="13"/>
      <c r="AJ31" s="13"/>
      <c r="AK31" s="13"/>
      <c r="AL31" s="13"/>
      <c r="AM31" s="13"/>
    </row>
    <row r="32" spans="1:39" s="1" customFormat="1" ht="21" hidden="1" customHeight="1">
      <c r="A32" s="14" t="s">
        <v>32</v>
      </c>
      <c r="B32" s="62" t="s">
        <v>40</v>
      </c>
      <c r="C32" s="63">
        <v>6</v>
      </c>
      <c r="D32" s="64" t="s">
        <v>45</v>
      </c>
      <c r="E32" s="64" t="s">
        <v>42</v>
      </c>
      <c r="F32" s="64" t="s">
        <v>36</v>
      </c>
      <c r="G32" s="64"/>
      <c r="H32" s="64" t="s">
        <v>43</v>
      </c>
      <c r="I32" s="65">
        <v>180</v>
      </c>
      <c r="J32" s="66">
        <v>149.99</v>
      </c>
      <c r="K32" s="66">
        <f t="shared" si="17"/>
        <v>1019.932</v>
      </c>
      <c r="L32" s="19">
        <v>6.8</v>
      </c>
      <c r="M32" s="66">
        <f t="shared" si="18"/>
        <v>183587.76</v>
      </c>
      <c r="N32" s="67">
        <v>0.04</v>
      </c>
      <c r="O32" s="68">
        <v>23.57</v>
      </c>
      <c r="P32" s="66">
        <f t="shared" si="19"/>
        <v>63731.354399999997</v>
      </c>
      <c r="Q32" s="23">
        <f t="shared" si="20"/>
        <v>0.34714380958730601</v>
      </c>
      <c r="R32" s="66">
        <f t="shared" si="21"/>
        <v>14687.0208</v>
      </c>
      <c r="S32" s="23">
        <v>0.08</v>
      </c>
      <c r="T32" s="18">
        <f t="shared" si="22"/>
        <v>105169.3848</v>
      </c>
      <c r="U32" s="22">
        <f t="shared" si="23"/>
        <v>0.57285619041269398</v>
      </c>
      <c r="V32" s="68">
        <f t="shared" si="24"/>
        <v>3671.7552000000001</v>
      </c>
      <c r="W32" s="23">
        <v>0.02</v>
      </c>
      <c r="X32" s="68">
        <v>241</v>
      </c>
      <c r="Y32" s="66">
        <f t="shared" si="25"/>
        <v>43380</v>
      </c>
      <c r="Z32" s="23">
        <f>Y32/M32</f>
        <v>0.23629026248808699</v>
      </c>
      <c r="AA32" s="66">
        <f>M32*AB32</f>
        <v>14687.0208</v>
      </c>
      <c r="AB32" s="23">
        <v>0.08</v>
      </c>
      <c r="AC32" s="18">
        <f t="shared" si="26"/>
        <v>7343.5104000000001</v>
      </c>
      <c r="AD32" s="69">
        <f t="shared" si="27"/>
        <v>0.04</v>
      </c>
      <c r="AE32" s="66">
        <v>0</v>
      </c>
      <c r="AF32" s="69">
        <f>AE32/M32</f>
        <v>0</v>
      </c>
      <c r="AG32" s="66">
        <f t="shared" si="28"/>
        <v>36087.098400000003</v>
      </c>
      <c r="AH32" s="67">
        <f t="shared" si="29"/>
        <v>0.196565927924607</v>
      </c>
      <c r="AI32" s="13"/>
      <c r="AJ32" s="13"/>
      <c r="AK32" s="13"/>
      <c r="AL32" s="13"/>
      <c r="AM32" s="13"/>
    </row>
    <row r="33" spans="1:39" s="2" customFormat="1" ht="21" hidden="1" customHeight="1">
      <c r="A33" s="14" t="s">
        <v>32</v>
      </c>
      <c r="B33" s="62" t="s">
        <v>46</v>
      </c>
      <c r="C33" s="63">
        <v>6</v>
      </c>
      <c r="D33" s="64" t="s">
        <v>47</v>
      </c>
      <c r="E33" s="64" t="s">
        <v>42</v>
      </c>
      <c r="F33" s="64" t="s">
        <v>36</v>
      </c>
      <c r="G33" s="64"/>
      <c r="H33" s="64" t="s">
        <v>43</v>
      </c>
      <c r="I33" s="65">
        <v>450</v>
      </c>
      <c r="J33" s="66">
        <v>112.99</v>
      </c>
      <c r="K33" s="66">
        <f t="shared" si="17"/>
        <v>768.33199999999999</v>
      </c>
      <c r="L33" s="19">
        <v>6.8</v>
      </c>
      <c r="M33" s="66">
        <f t="shared" si="18"/>
        <v>345749.4</v>
      </c>
      <c r="N33" s="67">
        <v>0.04</v>
      </c>
      <c r="O33" s="68">
        <v>23.57</v>
      </c>
      <c r="P33" s="66">
        <f t="shared" si="19"/>
        <v>137816.58600000001</v>
      </c>
      <c r="Q33" s="23">
        <f t="shared" si="20"/>
        <v>0.39860253119745098</v>
      </c>
      <c r="R33" s="66">
        <f t="shared" si="21"/>
        <v>34574.94</v>
      </c>
      <c r="S33" s="23">
        <v>0.1</v>
      </c>
      <c r="T33" s="18">
        <f t="shared" si="22"/>
        <v>173357.87400000001</v>
      </c>
      <c r="U33" s="22">
        <f t="shared" si="23"/>
        <v>0.50139746880254898</v>
      </c>
      <c r="V33" s="68">
        <f t="shared" si="24"/>
        <v>6914.9880000000003</v>
      </c>
      <c r="W33" s="23">
        <v>0.02</v>
      </c>
      <c r="X33" s="68">
        <v>176</v>
      </c>
      <c r="Y33" s="66">
        <f t="shared" si="25"/>
        <v>79200</v>
      </c>
      <c r="Z33" s="23">
        <v>0.28000000000000003</v>
      </c>
      <c r="AA33" s="66">
        <f>M33*AB33</f>
        <v>24202.457999999999</v>
      </c>
      <c r="AB33" s="23">
        <v>7.0000000000000007E-2</v>
      </c>
      <c r="AC33" s="18">
        <f t="shared" si="26"/>
        <v>13829.976000000001</v>
      </c>
      <c r="AD33" s="69">
        <f t="shared" si="27"/>
        <v>0.04</v>
      </c>
      <c r="AE33" s="66">
        <v>0</v>
      </c>
      <c r="AF33" s="69">
        <v>0</v>
      </c>
      <c r="AG33" s="66">
        <f t="shared" si="28"/>
        <v>49210.451999999997</v>
      </c>
      <c r="AH33" s="67">
        <f t="shared" si="29"/>
        <v>0.142329826168896</v>
      </c>
    </row>
    <row r="34" spans="1:39" s="2" customFormat="1" ht="21" hidden="1" customHeight="1">
      <c r="A34" s="14" t="s">
        <v>32</v>
      </c>
      <c r="B34" s="62" t="s">
        <v>46</v>
      </c>
      <c r="C34" s="63">
        <v>6</v>
      </c>
      <c r="D34" s="64" t="s">
        <v>48</v>
      </c>
      <c r="E34" s="64" t="s">
        <v>42</v>
      </c>
      <c r="F34" s="64" t="s">
        <v>36</v>
      </c>
      <c r="G34" s="64"/>
      <c r="H34" s="64" t="s">
        <v>43</v>
      </c>
      <c r="I34" s="65">
        <v>300</v>
      </c>
      <c r="J34" s="66">
        <v>159.99</v>
      </c>
      <c r="K34" s="66">
        <f t="shared" si="17"/>
        <v>1087.932</v>
      </c>
      <c r="L34" s="19">
        <v>6.8</v>
      </c>
      <c r="M34" s="66">
        <f t="shared" si="18"/>
        <v>326379.59999999998</v>
      </c>
      <c r="N34" s="67">
        <v>0.04</v>
      </c>
      <c r="O34" s="68">
        <v>29.27</v>
      </c>
      <c r="P34" s="66">
        <f t="shared" si="19"/>
        <v>121722.924</v>
      </c>
      <c r="Q34" s="23">
        <f t="shared" si="20"/>
        <v>0.37294893430839399</v>
      </c>
      <c r="R34" s="66">
        <f t="shared" si="21"/>
        <v>32637.96</v>
      </c>
      <c r="S34" s="23">
        <v>0.1</v>
      </c>
      <c r="T34" s="18">
        <f t="shared" si="22"/>
        <v>172018.71599999999</v>
      </c>
      <c r="U34" s="22">
        <f t="shared" si="23"/>
        <v>0.52705106569160598</v>
      </c>
      <c r="V34" s="68">
        <f t="shared" si="24"/>
        <v>6527.5919999999996</v>
      </c>
      <c r="W34" s="23">
        <v>0.02</v>
      </c>
      <c r="X34" s="68">
        <v>280.3</v>
      </c>
      <c r="Y34" s="66">
        <f t="shared" si="25"/>
        <v>84090</v>
      </c>
      <c r="Z34" s="23">
        <f t="shared" ref="Z34:Z57" si="30">Y34/M34</f>
        <v>0.25764477926929302</v>
      </c>
      <c r="AA34" s="66">
        <f>M34*AB34</f>
        <v>22846.572</v>
      </c>
      <c r="AB34" s="23">
        <v>7.0000000000000007E-2</v>
      </c>
      <c r="AC34" s="18">
        <f t="shared" si="26"/>
        <v>13055.183999999999</v>
      </c>
      <c r="AD34" s="69">
        <f t="shared" si="27"/>
        <v>0.04</v>
      </c>
      <c r="AE34" s="66">
        <v>0</v>
      </c>
      <c r="AF34" s="69">
        <v>0</v>
      </c>
      <c r="AG34" s="66">
        <f t="shared" si="28"/>
        <v>45499.368000000002</v>
      </c>
      <c r="AH34" s="67">
        <f t="shared" si="29"/>
        <v>0.13940628642231301</v>
      </c>
    </row>
    <row r="35" spans="1:39" s="2" customFormat="1" ht="21" hidden="1" customHeight="1">
      <c r="A35" s="14" t="s">
        <v>32</v>
      </c>
      <c r="B35" s="62" t="s">
        <v>46</v>
      </c>
      <c r="C35" s="63">
        <v>6</v>
      </c>
      <c r="D35" s="64" t="s">
        <v>49</v>
      </c>
      <c r="E35" s="64" t="s">
        <v>42</v>
      </c>
      <c r="F35" s="64" t="s">
        <v>36</v>
      </c>
      <c r="G35" s="64"/>
      <c r="H35" s="64" t="s">
        <v>43</v>
      </c>
      <c r="I35" s="65">
        <v>300</v>
      </c>
      <c r="J35" s="66">
        <v>69.989999999999995</v>
      </c>
      <c r="K35" s="66">
        <f t="shared" si="17"/>
        <v>475.93200000000002</v>
      </c>
      <c r="L35" s="19">
        <v>6.8</v>
      </c>
      <c r="M35" s="66">
        <f t="shared" si="18"/>
        <v>142779.6</v>
      </c>
      <c r="N35" s="67">
        <v>0.02</v>
      </c>
      <c r="O35" s="68">
        <v>18.25</v>
      </c>
      <c r="P35" s="66">
        <f t="shared" si="19"/>
        <v>61502.531999999999</v>
      </c>
      <c r="Q35" s="23">
        <f t="shared" si="20"/>
        <v>0.43075153593370502</v>
      </c>
      <c r="R35" s="66">
        <f t="shared" si="21"/>
        <v>17133.552</v>
      </c>
      <c r="S35" s="23">
        <v>0.12</v>
      </c>
      <c r="T35" s="18">
        <f t="shared" si="22"/>
        <v>64143.516000000003</v>
      </c>
      <c r="U35" s="22">
        <f t="shared" si="23"/>
        <v>0.44924846406629498</v>
      </c>
      <c r="V35" s="68">
        <f t="shared" si="24"/>
        <v>2855.5920000000001</v>
      </c>
      <c r="W35" s="23">
        <v>0.02</v>
      </c>
      <c r="X35" s="68">
        <v>78</v>
      </c>
      <c r="Y35" s="66">
        <f t="shared" si="25"/>
        <v>23400</v>
      </c>
      <c r="Z35" s="23">
        <f t="shared" si="30"/>
        <v>0.163888958926906</v>
      </c>
      <c r="AA35" s="66">
        <f>6.11*I35*L35</f>
        <v>12464.4</v>
      </c>
      <c r="AB35" s="23">
        <v>7.0000000000000007E-2</v>
      </c>
      <c r="AC35" s="18">
        <f t="shared" si="26"/>
        <v>5711.1840000000002</v>
      </c>
      <c r="AD35" s="69">
        <f t="shared" si="27"/>
        <v>0.04</v>
      </c>
      <c r="AE35" s="66">
        <v>0</v>
      </c>
      <c r="AF35" s="69">
        <f>AE35/M35</f>
        <v>0</v>
      </c>
      <c r="AG35" s="66">
        <f t="shared" si="28"/>
        <v>19712.34</v>
      </c>
      <c r="AH35" s="67">
        <f t="shared" si="29"/>
        <v>0.138061319684325</v>
      </c>
    </row>
    <row r="36" spans="1:39" s="2" customFormat="1" ht="21" hidden="1" customHeight="1">
      <c r="A36" s="14" t="s">
        <v>32</v>
      </c>
      <c r="B36" s="62" t="s">
        <v>46</v>
      </c>
      <c r="C36" s="63">
        <v>6</v>
      </c>
      <c r="D36" s="64" t="s">
        <v>50</v>
      </c>
      <c r="E36" s="64" t="s">
        <v>42</v>
      </c>
      <c r="F36" s="64" t="s">
        <v>36</v>
      </c>
      <c r="G36" s="64"/>
      <c r="H36" s="64" t="s">
        <v>37</v>
      </c>
      <c r="I36" s="65">
        <v>120</v>
      </c>
      <c r="J36" s="66">
        <v>69.989999999999995</v>
      </c>
      <c r="K36" s="66">
        <f t="shared" si="17"/>
        <v>475.93200000000002</v>
      </c>
      <c r="L36" s="19">
        <v>6.8</v>
      </c>
      <c r="M36" s="66">
        <f t="shared" si="18"/>
        <v>57111.839999999997</v>
      </c>
      <c r="N36" s="67">
        <v>0.06</v>
      </c>
      <c r="O36" s="68">
        <v>17.489999999999998</v>
      </c>
      <c r="P36" s="66">
        <f t="shared" si="19"/>
        <v>26265.326400000002</v>
      </c>
      <c r="Q36" s="23">
        <f t="shared" si="20"/>
        <v>0.45989284183454798</v>
      </c>
      <c r="R36" s="66">
        <f t="shared" si="21"/>
        <v>4568.9471999999996</v>
      </c>
      <c r="S36" s="23">
        <v>0.08</v>
      </c>
      <c r="T36" s="18">
        <f t="shared" si="22"/>
        <v>26277.5664</v>
      </c>
      <c r="U36" s="22">
        <f t="shared" si="23"/>
        <v>0.460107158165452</v>
      </c>
      <c r="V36" s="68">
        <f t="shared" si="24"/>
        <v>1142.2367999999999</v>
      </c>
      <c r="W36" s="23">
        <v>0.02</v>
      </c>
      <c r="X36" s="68">
        <v>231</v>
      </c>
      <c r="Y36" s="66">
        <f t="shared" si="25"/>
        <v>27720</v>
      </c>
      <c r="Z36" s="23">
        <f t="shared" si="30"/>
        <v>0.48536345528352798</v>
      </c>
      <c r="AA36" s="66">
        <f>17.22*I36*L36</f>
        <v>14051.52</v>
      </c>
      <c r="AB36" s="23">
        <v>7.0000000000000007E-2</v>
      </c>
      <c r="AC36" s="18">
        <f t="shared" si="26"/>
        <v>2284.4735999999998</v>
      </c>
      <c r="AD36" s="69">
        <f t="shared" si="27"/>
        <v>0.04</v>
      </c>
      <c r="AE36" s="66">
        <v>0</v>
      </c>
      <c r="AF36" s="69">
        <v>0</v>
      </c>
      <c r="AG36" s="66">
        <f t="shared" si="28"/>
        <v>-18920.664000000001</v>
      </c>
      <c r="AH36" s="67">
        <f t="shared" si="29"/>
        <v>-0.331291444996344</v>
      </c>
    </row>
    <row r="37" spans="1:39" s="1" customFormat="1" ht="21" hidden="1" customHeight="1">
      <c r="A37" s="14" t="s">
        <v>32</v>
      </c>
      <c r="B37" s="62" t="s">
        <v>46</v>
      </c>
      <c r="C37" s="63">
        <v>6</v>
      </c>
      <c r="D37" s="64" t="s">
        <v>51</v>
      </c>
      <c r="E37" s="64" t="s">
        <v>42</v>
      </c>
      <c r="F37" s="64" t="s">
        <v>36</v>
      </c>
      <c r="G37" s="64"/>
      <c r="H37" s="64" t="s">
        <v>37</v>
      </c>
      <c r="I37" s="65">
        <v>300</v>
      </c>
      <c r="J37" s="66">
        <v>89.99</v>
      </c>
      <c r="K37" s="66">
        <f t="shared" si="17"/>
        <v>611.93200000000002</v>
      </c>
      <c r="L37" s="19">
        <v>6.8</v>
      </c>
      <c r="M37" s="66">
        <f t="shared" si="18"/>
        <v>183579.6</v>
      </c>
      <c r="N37" s="67">
        <v>0.06</v>
      </c>
      <c r="O37" s="68">
        <v>20.53</v>
      </c>
      <c r="P37" s="66">
        <f t="shared" si="19"/>
        <v>80432.915999999997</v>
      </c>
      <c r="Q37" s="23">
        <f t="shared" si="20"/>
        <v>0.43813645960662301</v>
      </c>
      <c r="R37" s="66">
        <f t="shared" si="21"/>
        <v>18357.96</v>
      </c>
      <c r="S37" s="23">
        <v>0.1</v>
      </c>
      <c r="T37" s="18">
        <f t="shared" si="22"/>
        <v>84788.724000000002</v>
      </c>
      <c r="U37" s="22">
        <f t="shared" si="23"/>
        <v>0.46186354039337701</v>
      </c>
      <c r="V37" s="68">
        <f t="shared" si="24"/>
        <v>3671.5920000000001</v>
      </c>
      <c r="W37" s="23">
        <v>0.02</v>
      </c>
      <c r="X37" s="68">
        <v>279</v>
      </c>
      <c r="Y37" s="66">
        <f t="shared" si="25"/>
        <v>83700</v>
      </c>
      <c r="Z37" s="23">
        <f t="shared" si="30"/>
        <v>0.45593301216475002</v>
      </c>
      <c r="AA37" s="66">
        <f>M37*AB37</f>
        <v>14686.368</v>
      </c>
      <c r="AB37" s="23">
        <v>0.08</v>
      </c>
      <c r="AC37" s="18">
        <f t="shared" si="26"/>
        <v>7343.1840000000002</v>
      </c>
      <c r="AD37" s="69">
        <f t="shared" si="27"/>
        <v>0.04</v>
      </c>
      <c r="AE37" s="66">
        <v>0</v>
      </c>
      <c r="AF37" s="69">
        <v>0</v>
      </c>
      <c r="AG37" s="66">
        <f t="shared" si="28"/>
        <v>-24612.42</v>
      </c>
      <c r="AH37" s="67">
        <f t="shared" si="29"/>
        <v>-0.13406947177137299</v>
      </c>
      <c r="AI37" s="13"/>
      <c r="AJ37" s="13"/>
      <c r="AK37" s="13"/>
      <c r="AL37" s="13"/>
      <c r="AM37" s="13"/>
    </row>
    <row r="38" spans="1:39" s="1" customFormat="1" ht="21" hidden="1" customHeight="1">
      <c r="A38" s="14" t="s">
        <v>32</v>
      </c>
      <c r="B38" s="62" t="s">
        <v>46</v>
      </c>
      <c r="C38" s="63">
        <v>6</v>
      </c>
      <c r="D38" s="64" t="s">
        <v>52</v>
      </c>
      <c r="E38" s="64" t="s">
        <v>42</v>
      </c>
      <c r="F38" s="64" t="s">
        <v>36</v>
      </c>
      <c r="G38" s="64"/>
      <c r="H38" s="64" t="s">
        <v>37</v>
      </c>
      <c r="I38" s="65">
        <v>180</v>
      </c>
      <c r="J38" s="66">
        <v>109.99</v>
      </c>
      <c r="K38" s="66">
        <f t="shared" si="17"/>
        <v>747.93200000000002</v>
      </c>
      <c r="L38" s="19">
        <v>6.8</v>
      </c>
      <c r="M38" s="66">
        <f t="shared" si="18"/>
        <v>134627.76</v>
      </c>
      <c r="N38" s="67">
        <v>0.06</v>
      </c>
      <c r="O38" s="68">
        <v>20.91</v>
      </c>
      <c r="P38" s="66">
        <f t="shared" si="19"/>
        <v>53865.669600000001</v>
      </c>
      <c r="Q38" s="23">
        <f t="shared" si="20"/>
        <v>0.40010819165378703</v>
      </c>
      <c r="R38" s="66">
        <f t="shared" si="21"/>
        <v>13462.776</v>
      </c>
      <c r="S38" s="23">
        <v>0.1</v>
      </c>
      <c r="T38" s="18">
        <f t="shared" si="22"/>
        <v>67299.314400000003</v>
      </c>
      <c r="U38" s="22">
        <f t="shared" si="23"/>
        <v>0.499891808346213</v>
      </c>
      <c r="V38" s="68">
        <f t="shared" si="24"/>
        <v>2692.5551999999998</v>
      </c>
      <c r="W38" s="23">
        <v>0.02</v>
      </c>
      <c r="X38" s="68">
        <v>323</v>
      </c>
      <c r="Y38" s="66">
        <f t="shared" si="25"/>
        <v>58140</v>
      </c>
      <c r="Z38" s="23">
        <f t="shared" si="30"/>
        <v>0.43185744158559902</v>
      </c>
      <c r="AA38" s="66">
        <f>M38*AB38</f>
        <v>10770.220799999999</v>
      </c>
      <c r="AB38" s="23">
        <v>0.08</v>
      </c>
      <c r="AC38" s="18">
        <f t="shared" si="26"/>
        <v>5385.1103999999996</v>
      </c>
      <c r="AD38" s="69">
        <f t="shared" si="27"/>
        <v>0.04</v>
      </c>
      <c r="AE38" s="66">
        <v>0</v>
      </c>
      <c r="AF38" s="69">
        <v>0</v>
      </c>
      <c r="AG38" s="66">
        <f t="shared" si="28"/>
        <v>-9688.5720000000092</v>
      </c>
      <c r="AH38" s="67">
        <f t="shared" si="29"/>
        <v>-7.1965633239385499E-2</v>
      </c>
    </row>
    <row r="39" spans="1:39" s="2" customFormat="1" ht="21" hidden="1" customHeight="1">
      <c r="A39" s="14" t="s">
        <v>32</v>
      </c>
      <c r="B39" s="62" t="s">
        <v>46</v>
      </c>
      <c r="C39" s="63">
        <v>6</v>
      </c>
      <c r="D39" s="64" t="s">
        <v>53</v>
      </c>
      <c r="E39" s="64" t="s">
        <v>42</v>
      </c>
      <c r="F39" s="64" t="s">
        <v>36</v>
      </c>
      <c r="G39" s="64"/>
      <c r="H39" s="64" t="s">
        <v>37</v>
      </c>
      <c r="I39" s="65">
        <v>0</v>
      </c>
      <c r="J39" s="66">
        <v>89.99</v>
      </c>
      <c r="K39" s="66">
        <f t="shared" si="17"/>
        <v>611.93200000000002</v>
      </c>
      <c r="L39" s="19">
        <v>6.8</v>
      </c>
      <c r="M39" s="66">
        <f t="shared" si="18"/>
        <v>0</v>
      </c>
      <c r="N39" s="67">
        <v>0.03</v>
      </c>
      <c r="O39" s="68">
        <v>18.63</v>
      </c>
      <c r="P39" s="66">
        <f t="shared" si="19"/>
        <v>0</v>
      </c>
      <c r="Q39" s="23" t="e">
        <f t="shared" si="20"/>
        <v>#DIV/0!</v>
      </c>
      <c r="R39" s="66">
        <f t="shared" si="21"/>
        <v>0</v>
      </c>
      <c r="S39" s="23">
        <v>0.18</v>
      </c>
      <c r="T39" s="18">
        <f t="shared" si="22"/>
        <v>0</v>
      </c>
      <c r="U39" s="22" t="e">
        <f t="shared" si="23"/>
        <v>#DIV/0!</v>
      </c>
      <c r="V39" s="68">
        <f t="shared" si="24"/>
        <v>0</v>
      </c>
      <c r="W39" s="23">
        <v>0.02</v>
      </c>
      <c r="X39" s="68">
        <v>143</v>
      </c>
      <c r="Y39" s="66">
        <f t="shared" si="25"/>
        <v>0</v>
      </c>
      <c r="Z39" s="23" t="e">
        <f t="shared" si="30"/>
        <v>#DIV/0!</v>
      </c>
      <c r="AA39" s="66">
        <f>10.13*I39*L39</f>
        <v>0</v>
      </c>
      <c r="AB39" s="23" t="e">
        <f>AA39/M39</f>
        <v>#DIV/0!</v>
      </c>
      <c r="AC39" s="18">
        <f t="shared" si="26"/>
        <v>0</v>
      </c>
      <c r="AD39" s="69" t="e">
        <f t="shared" si="27"/>
        <v>#DIV/0!</v>
      </c>
      <c r="AE39" s="66">
        <v>0</v>
      </c>
      <c r="AF39" s="69" t="e">
        <f>AE39/M39</f>
        <v>#DIV/0!</v>
      </c>
      <c r="AG39" s="66">
        <f t="shared" si="28"/>
        <v>0</v>
      </c>
      <c r="AH39" s="67" t="e">
        <f t="shared" si="29"/>
        <v>#DIV/0!</v>
      </c>
    </row>
    <row r="40" spans="1:39" s="2" customFormat="1" ht="21" hidden="1" customHeight="1">
      <c r="A40" s="14" t="s">
        <v>32</v>
      </c>
      <c r="B40" s="62" t="s">
        <v>46</v>
      </c>
      <c r="C40" s="63">
        <v>6</v>
      </c>
      <c r="D40" s="64" t="s">
        <v>54</v>
      </c>
      <c r="E40" s="64" t="s">
        <v>42</v>
      </c>
      <c r="F40" s="64" t="s">
        <v>36</v>
      </c>
      <c r="G40" s="64"/>
      <c r="H40" s="64" t="s">
        <v>37</v>
      </c>
      <c r="I40" s="65">
        <v>60</v>
      </c>
      <c r="J40" s="66">
        <v>109.99</v>
      </c>
      <c r="K40" s="66">
        <f t="shared" si="17"/>
        <v>747.93200000000002</v>
      </c>
      <c r="L40" s="19">
        <v>6.8</v>
      </c>
      <c r="M40" s="66">
        <f t="shared" si="18"/>
        <v>44875.92</v>
      </c>
      <c r="N40" s="67">
        <v>0.03</v>
      </c>
      <c r="O40" s="68">
        <v>20.149999999999999</v>
      </c>
      <c r="P40" s="66">
        <f t="shared" si="19"/>
        <v>16298.865599999999</v>
      </c>
      <c r="Q40" s="23">
        <f t="shared" si="20"/>
        <v>0.36319847258841698</v>
      </c>
      <c r="R40" s="66">
        <f t="shared" si="21"/>
        <v>8077.6656000000003</v>
      </c>
      <c r="S40" s="23">
        <v>0.18</v>
      </c>
      <c r="T40" s="18">
        <f t="shared" si="22"/>
        <v>20499.388800000001</v>
      </c>
      <c r="U40" s="22">
        <f t="shared" si="23"/>
        <v>0.45680152741158297</v>
      </c>
      <c r="V40" s="68">
        <f t="shared" si="24"/>
        <v>897.51840000000004</v>
      </c>
      <c r="W40" s="23">
        <v>0.02</v>
      </c>
      <c r="X40" s="68">
        <v>148</v>
      </c>
      <c r="Y40" s="66">
        <f t="shared" si="25"/>
        <v>8880</v>
      </c>
      <c r="Z40" s="23">
        <f t="shared" si="30"/>
        <v>0.19787895156244201</v>
      </c>
      <c r="AA40" s="66">
        <f>1.11*I40*L40</f>
        <v>452.88</v>
      </c>
      <c r="AB40" s="23">
        <f>AA40/M40</f>
        <v>1.0091826529684499E-2</v>
      </c>
      <c r="AC40" s="18">
        <f t="shared" si="26"/>
        <v>1795.0368000000001</v>
      </c>
      <c r="AD40" s="69">
        <f t="shared" si="27"/>
        <v>0.04</v>
      </c>
      <c r="AE40" s="66">
        <v>0</v>
      </c>
      <c r="AF40" s="69">
        <f>AE40/M40</f>
        <v>0</v>
      </c>
      <c r="AG40" s="66">
        <f t="shared" si="28"/>
        <v>8473.9535999999898</v>
      </c>
      <c r="AH40" s="67">
        <f t="shared" si="29"/>
        <v>0.18883074931945701</v>
      </c>
    </row>
    <row r="41" spans="1:39" s="1" customFormat="1" ht="21" hidden="1" customHeight="1">
      <c r="A41" s="14" t="s">
        <v>32</v>
      </c>
      <c r="B41" s="62" t="s">
        <v>46</v>
      </c>
      <c r="C41" s="63">
        <v>6</v>
      </c>
      <c r="D41" s="64" t="s">
        <v>55</v>
      </c>
      <c r="E41" s="64" t="s">
        <v>42</v>
      </c>
      <c r="F41" s="64" t="s">
        <v>36</v>
      </c>
      <c r="G41" s="64"/>
      <c r="H41" s="64" t="s">
        <v>37</v>
      </c>
      <c r="I41" s="65">
        <v>60</v>
      </c>
      <c r="J41" s="66">
        <v>129.99</v>
      </c>
      <c r="K41" s="66">
        <f t="shared" si="17"/>
        <v>883.93200000000002</v>
      </c>
      <c r="L41" s="19">
        <v>6.8</v>
      </c>
      <c r="M41" s="66">
        <f t="shared" si="18"/>
        <v>53035.92</v>
      </c>
      <c r="N41" s="67">
        <v>0.03</v>
      </c>
      <c r="O41" s="68">
        <v>20.53</v>
      </c>
      <c r="P41" s="66">
        <f t="shared" si="19"/>
        <v>17922.705600000001</v>
      </c>
      <c r="Q41" s="23">
        <f t="shared" si="20"/>
        <v>0.33793522578659901</v>
      </c>
      <c r="R41" s="66">
        <f t="shared" si="21"/>
        <v>9546.4655999999995</v>
      </c>
      <c r="S41" s="23">
        <v>0.18</v>
      </c>
      <c r="T41" s="18">
        <f t="shared" si="22"/>
        <v>25566.748800000001</v>
      </c>
      <c r="U41" s="22">
        <f t="shared" si="23"/>
        <v>0.48206477421340099</v>
      </c>
      <c r="V41" s="68">
        <f t="shared" si="24"/>
        <v>1060.7184</v>
      </c>
      <c r="W41" s="23">
        <v>0.02</v>
      </c>
      <c r="X41" s="68">
        <v>165</v>
      </c>
      <c r="Y41" s="66">
        <f t="shared" si="25"/>
        <v>9900</v>
      </c>
      <c r="Z41" s="23">
        <f t="shared" si="30"/>
        <v>0.18666594262907099</v>
      </c>
      <c r="AA41" s="66">
        <f t="shared" ref="AA41:AA46" si="31">M41*AB41</f>
        <v>4242.8735999999999</v>
      </c>
      <c r="AB41" s="23">
        <v>0.08</v>
      </c>
      <c r="AC41" s="18">
        <f t="shared" si="26"/>
        <v>2121.4367999999999</v>
      </c>
      <c r="AD41" s="69">
        <f t="shared" si="27"/>
        <v>0.04</v>
      </c>
      <c r="AE41" s="66">
        <v>0</v>
      </c>
      <c r="AF41" s="69">
        <f>AE41/M41</f>
        <v>0</v>
      </c>
      <c r="AG41" s="66">
        <f t="shared" si="28"/>
        <v>8241.7199999999993</v>
      </c>
      <c r="AH41" s="67">
        <f t="shared" si="29"/>
        <v>0.15539883158432999</v>
      </c>
      <c r="AI41" s="13"/>
      <c r="AJ41" s="13"/>
      <c r="AK41" s="13"/>
      <c r="AL41" s="13"/>
      <c r="AM41" s="13"/>
    </row>
    <row r="42" spans="1:39" s="1" customFormat="1" ht="21" hidden="1" customHeight="1">
      <c r="A42" s="29" t="s">
        <v>56</v>
      </c>
      <c r="B42" s="70" t="s">
        <v>57</v>
      </c>
      <c r="C42" s="71">
        <v>6</v>
      </c>
      <c r="D42" s="71" t="s">
        <v>58</v>
      </c>
      <c r="E42" s="71" t="s">
        <v>35</v>
      </c>
      <c r="F42" s="71" t="s">
        <v>36</v>
      </c>
      <c r="G42" s="71"/>
      <c r="H42" s="71" t="s">
        <v>43</v>
      </c>
      <c r="I42" s="72">
        <v>1200</v>
      </c>
      <c r="J42" s="73">
        <v>89.99</v>
      </c>
      <c r="K42" s="73">
        <f t="shared" si="17"/>
        <v>719.92</v>
      </c>
      <c r="L42" s="19">
        <v>8</v>
      </c>
      <c r="M42" s="73">
        <f t="shared" si="18"/>
        <v>863904</v>
      </c>
      <c r="N42" s="74">
        <v>0.08</v>
      </c>
      <c r="O42" s="75">
        <v>5.87</v>
      </c>
      <c r="P42" s="73">
        <f t="shared" si="19"/>
        <v>255049.92</v>
      </c>
      <c r="Q42" s="76">
        <f t="shared" si="20"/>
        <v>0.29522946994110499</v>
      </c>
      <c r="R42" s="73">
        <f t="shared" si="21"/>
        <v>69112.320000000007</v>
      </c>
      <c r="S42" s="76">
        <v>0.08</v>
      </c>
      <c r="T42" s="18">
        <f t="shared" si="22"/>
        <v>539741.76</v>
      </c>
      <c r="U42" s="22">
        <f t="shared" si="23"/>
        <v>0.62477053005889505</v>
      </c>
      <c r="V42" s="73">
        <f t="shared" si="24"/>
        <v>8639.0400000000009</v>
      </c>
      <c r="W42" s="76">
        <v>0.01</v>
      </c>
      <c r="X42" s="75">
        <v>171.5</v>
      </c>
      <c r="Y42" s="34">
        <f t="shared" si="25"/>
        <v>205800</v>
      </c>
      <c r="Z42" s="76">
        <f t="shared" si="30"/>
        <v>0.23822091343482599</v>
      </c>
      <c r="AA42" s="73">
        <f t="shared" si="31"/>
        <v>43195.199999999997</v>
      </c>
      <c r="AB42" s="76">
        <v>0.05</v>
      </c>
      <c r="AC42" s="18">
        <f t="shared" si="26"/>
        <v>34556.160000000003</v>
      </c>
      <c r="AD42" s="77">
        <v>0.02</v>
      </c>
      <c r="AE42" s="73">
        <f>J42/1.19*0.19*I42*L42</f>
        <v>137934.25210084001</v>
      </c>
      <c r="AF42" s="77">
        <f>AE42/M42</f>
        <v>0.159663865546218</v>
      </c>
      <c r="AG42" s="73">
        <f t="shared" si="28"/>
        <v>109617.10789915999</v>
      </c>
      <c r="AH42" s="74">
        <f t="shared" si="29"/>
        <v>0.12688575107785099</v>
      </c>
      <c r="AI42" s="13"/>
      <c r="AJ42" s="13"/>
      <c r="AK42" s="13"/>
      <c r="AL42" s="13"/>
      <c r="AM42" s="13"/>
    </row>
    <row r="43" spans="1:39" s="1" customFormat="1" ht="21" hidden="1" customHeight="1">
      <c r="A43" s="29" t="s">
        <v>56</v>
      </c>
      <c r="B43" s="70" t="s">
        <v>59</v>
      </c>
      <c r="C43" s="71">
        <v>6</v>
      </c>
      <c r="D43" s="71" t="s">
        <v>60</v>
      </c>
      <c r="E43" s="71" t="s">
        <v>35</v>
      </c>
      <c r="F43" s="71" t="s">
        <v>36</v>
      </c>
      <c r="G43" s="71"/>
      <c r="H43" s="71" t="s">
        <v>43</v>
      </c>
      <c r="I43" s="72">
        <v>5500</v>
      </c>
      <c r="J43" s="73">
        <v>69.989999999999995</v>
      </c>
      <c r="K43" s="73">
        <f t="shared" si="17"/>
        <v>475.93200000000002</v>
      </c>
      <c r="L43" s="78">
        <v>6.8</v>
      </c>
      <c r="M43" s="73">
        <f t="shared" si="18"/>
        <v>2617626</v>
      </c>
      <c r="N43" s="74">
        <v>0.08</v>
      </c>
      <c r="O43" s="75">
        <v>11.04</v>
      </c>
      <c r="P43" s="73">
        <f t="shared" si="19"/>
        <v>1014949.98</v>
      </c>
      <c r="Q43" s="76">
        <f t="shared" si="20"/>
        <v>0.38773681954564898</v>
      </c>
      <c r="R43" s="73">
        <f t="shared" si="21"/>
        <v>261762.6</v>
      </c>
      <c r="S43" s="76">
        <v>0.1</v>
      </c>
      <c r="T43" s="18">
        <f t="shared" si="22"/>
        <v>1340913.42</v>
      </c>
      <c r="U43" s="22">
        <f t="shared" si="23"/>
        <v>0.51226318045435104</v>
      </c>
      <c r="V43" s="73">
        <f t="shared" si="24"/>
        <v>78528.78</v>
      </c>
      <c r="W43" s="76">
        <v>0.03</v>
      </c>
      <c r="X43" s="75">
        <v>142</v>
      </c>
      <c r="Y43" s="34">
        <f t="shared" si="25"/>
        <v>781000</v>
      </c>
      <c r="Z43" s="76">
        <f t="shared" si="30"/>
        <v>0.29836195086693101</v>
      </c>
      <c r="AA43" s="73">
        <f t="shared" si="31"/>
        <v>157057.56</v>
      </c>
      <c r="AB43" s="76">
        <v>0.06</v>
      </c>
      <c r="AC43" s="18">
        <f t="shared" si="26"/>
        <v>104705.04</v>
      </c>
      <c r="AD43" s="77">
        <v>0.02</v>
      </c>
      <c r="AE43" s="73">
        <v>0</v>
      </c>
      <c r="AF43" s="77">
        <v>0</v>
      </c>
      <c r="AG43" s="73">
        <f t="shared" si="28"/>
        <v>219622.04</v>
      </c>
      <c r="AH43" s="74">
        <f t="shared" si="29"/>
        <v>8.3901229587419995E-2</v>
      </c>
      <c r="AI43" s="13"/>
      <c r="AJ43" s="13"/>
      <c r="AK43" s="13"/>
      <c r="AL43" s="13"/>
      <c r="AM43" s="13"/>
    </row>
    <row r="44" spans="1:39" s="1" customFormat="1" ht="21" hidden="1" customHeight="1">
      <c r="A44" s="29" t="s">
        <v>56</v>
      </c>
      <c r="B44" s="70" t="s">
        <v>59</v>
      </c>
      <c r="C44" s="71">
        <v>6</v>
      </c>
      <c r="D44" s="71" t="s">
        <v>61</v>
      </c>
      <c r="E44" s="71" t="s">
        <v>35</v>
      </c>
      <c r="F44" s="71" t="s">
        <v>36</v>
      </c>
      <c r="G44" s="71"/>
      <c r="H44" s="71" t="s">
        <v>43</v>
      </c>
      <c r="I44" s="72">
        <v>500</v>
      </c>
      <c r="J44" s="73">
        <v>79.989999999999995</v>
      </c>
      <c r="K44" s="73">
        <f t="shared" si="17"/>
        <v>543.93200000000002</v>
      </c>
      <c r="L44" s="78">
        <v>6.8</v>
      </c>
      <c r="M44" s="73">
        <f t="shared" si="18"/>
        <v>271966</v>
      </c>
      <c r="N44" s="74">
        <v>0.08</v>
      </c>
      <c r="O44" s="75">
        <v>15.79</v>
      </c>
      <c r="P44" s="73">
        <f t="shared" si="19"/>
        <v>116238.18</v>
      </c>
      <c r="Q44" s="76">
        <f t="shared" si="20"/>
        <v>0.42739967495936998</v>
      </c>
      <c r="R44" s="73">
        <f t="shared" si="21"/>
        <v>27196.6</v>
      </c>
      <c r="S44" s="76">
        <v>0.1</v>
      </c>
      <c r="T44" s="18">
        <f t="shared" si="22"/>
        <v>128531.22</v>
      </c>
      <c r="U44" s="22">
        <f t="shared" si="23"/>
        <v>0.47260032504062999</v>
      </c>
      <c r="V44" s="73">
        <f t="shared" si="24"/>
        <v>8158.98</v>
      </c>
      <c r="W44" s="76">
        <v>0.03</v>
      </c>
      <c r="X44" s="75">
        <v>170</v>
      </c>
      <c r="Y44" s="34">
        <f t="shared" si="25"/>
        <v>85000</v>
      </c>
      <c r="Z44" s="76">
        <f t="shared" si="30"/>
        <v>0.31253906738342302</v>
      </c>
      <c r="AA44" s="73">
        <f t="shared" si="31"/>
        <v>16317.96</v>
      </c>
      <c r="AB44" s="76">
        <v>0.06</v>
      </c>
      <c r="AC44" s="18">
        <f t="shared" si="26"/>
        <v>10878.64</v>
      </c>
      <c r="AD44" s="77">
        <v>0.02</v>
      </c>
      <c r="AE44" s="73">
        <v>0</v>
      </c>
      <c r="AF44" s="77">
        <v>0</v>
      </c>
      <c r="AG44" s="73">
        <f t="shared" si="28"/>
        <v>8175.6399999999703</v>
      </c>
      <c r="AH44" s="74">
        <f t="shared" si="29"/>
        <v>3.0061257657207002E-2</v>
      </c>
      <c r="AI44" s="13"/>
      <c r="AJ44" s="13"/>
      <c r="AK44" s="13"/>
      <c r="AL44" s="13"/>
      <c r="AM44" s="13"/>
    </row>
    <row r="45" spans="1:39" s="1" customFormat="1" ht="21" hidden="1" customHeight="1">
      <c r="A45" s="29" t="s">
        <v>56</v>
      </c>
      <c r="B45" s="70" t="s">
        <v>59</v>
      </c>
      <c r="C45" s="71">
        <v>6</v>
      </c>
      <c r="D45" s="71" t="s">
        <v>62</v>
      </c>
      <c r="E45" s="71" t="s">
        <v>35</v>
      </c>
      <c r="F45" s="71" t="s">
        <v>36</v>
      </c>
      <c r="G45" s="71"/>
      <c r="H45" s="71" t="s">
        <v>43</v>
      </c>
      <c r="I45" s="72">
        <v>4000</v>
      </c>
      <c r="J45" s="73">
        <v>79.989999999999995</v>
      </c>
      <c r="K45" s="73">
        <f t="shared" si="17"/>
        <v>543.93200000000002</v>
      </c>
      <c r="L45" s="78">
        <v>6.8</v>
      </c>
      <c r="M45" s="73">
        <f t="shared" si="18"/>
        <v>2175728</v>
      </c>
      <c r="N45" s="74">
        <v>0.08</v>
      </c>
      <c r="O45" s="75">
        <v>15.79</v>
      </c>
      <c r="P45" s="73">
        <f t="shared" si="19"/>
        <v>929905.44</v>
      </c>
      <c r="Q45" s="76">
        <f t="shared" si="20"/>
        <v>0.42739967495936998</v>
      </c>
      <c r="R45" s="73">
        <f t="shared" si="21"/>
        <v>217572.8</v>
      </c>
      <c r="S45" s="76">
        <v>0.1</v>
      </c>
      <c r="T45" s="18">
        <f t="shared" si="22"/>
        <v>1028249.76</v>
      </c>
      <c r="U45" s="22">
        <f t="shared" si="23"/>
        <v>0.47260032504062999</v>
      </c>
      <c r="V45" s="73">
        <f t="shared" si="24"/>
        <v>65271.839999999997</v>
      </c>
      <c r="W45" s="76">
        <v>0.03</v>
      </c>
      <c r="X45" s="75">
        <v>170</v>
      </c>
      <c r="Y45" s="34">
        <f t="shared" si="25"/>
        <v>680000</v>
      </c>
      <c r="Z45" s="76">
        <f t="shared" si="30"/>
        <v>0.31253906738342302</v>
      </c>
      <c r="AA45" s="73">
        <f t="shared" si="31"/>
        <v>130543.67999999999</v>
      </c>
      <c r="AB45" s="76">
        <v>0.06</v>
      </c>
      <c r="AC45" s="18">
        <f t="shared" si="26"/>
        <v>87029.119999999995</v>
      </c>
      <c r="AD45" s="77">
        <v>0.02</v>
      </c>
      <c r="AE45" s="73">
        <v>0</v>
      </c>
      <c r="AF45" s="77">
        <v>0</v>
      </c>
      <c r="AG45" s="73">
        <f t="shared" si="28"/>
        <v>65405.119999999697</v>
      </c>
      <c r="AH45" s="74">
        <f t="shared" si="29"/>
        <v>3.0061257657207002E-2</v>
      </c>
      <c r="AI45" s="13"/>
      <c r="AJ45" s="13"/>
      <c r="AK45" s="13"/>
      <c r="AL45" s="13"/>
      <c r="AM45" s="13"/>
    </row>
    <row r="46" spans="1:39" s="1" customFormat="1" ht="21" hidden="1" customHeight="1">
      <c r="A46" s="29" t="s">
        <v>56</v>
      </c>
      <c r="B46" s="70" t="s">
        <v>59</v>
      </c>
      <c r="C46" s="71">
        <v>6</v>
      </c>
      <c r="D46" s="71" t="s">
        <v>63</v>
      </c>
      <c r="E46" s="71" t="s">
        <v>35</v>
      </c>
      <c r="F46" s="71" t="s">
        <v>36</v>
      </c>
      <c r="G46" s="71"/>
      <c r="H46" s="71" t="s">
        <v>43</v>
      </c>
      <c r="I46" s="72">
        <v>600</v>
      </c>
      <c r="J46" s="73">
        <v>79.989999999999995</v>
      </c>
      <c r="K46" s="73">
        <f t="shared" si="17"/>
        <v>543.93200000000002</v>
      </c>
      <c r="L46" s="78">
        <v>6.8</v>
      </c>
      <c r="M46" s="73">
        <f t="shared" si="18"/>
        <v>326359.2</v>
      </c>
      <c r="N46" s="74">
        <v>0.08</v>
      </c>
      <c r="O46" s="75">
        <v>14.89</v>
      </c>
      <c r="P46" s="73">
        <f t="shared" si="19"/>
        <v>135813.81599999999</v>
      </c>
      <c r="Q46" s="76">
        <f t="shared" si="20"/>
        <v>0.41614826853356701</v>
      </c>
      <c r="R46" s="73">
        <f t="shared" si="21"/>
        <v>32635.919999999998</v>
      </c>
      <c r="S46" s="76">
        <v>0.1</v>
      </c>
      <c r="T46" s="18">
        <f t="shared" si="22"/>
        <v>157909.46400000001</v>
      </c>
      <c r="U46" s="22">
        <f t="shared" si="23"/>
        <v>0.48385173146643301</v>
      </c>
      <c r="V46" s="73">
        <f t="shared" si="24"/>
        <v>9790.7759999999998</v>
      </c>
      <c r="W46" s="76">
        <v>0.03</v>
      </c>
      <c r="X46" s="75">
        <v>155</v>
      </c>
      <c r="Y46" s="34">
        <f t="shared" si="25"/>
        <v>93000</v>
      </c>
      <c r="Z46" s="76">
        <f t="shared" si="30"/>
        <v>0.28496209084959201</v>
      </c>
      <c r="AA46" s="73">
        <f t="shared" si="31"/>
        <v>19581.552</v>
      </c>
      <c r="AB46" s="76">
        <v>0.06</v>
      </c>
      <c r="AC46" s="18">
        <f>M46*AD46</f>
        <v>9790.7759999999998</v>
      </c>
      <c r="AD46" s="77">
        <v>0.03</v>
      </c>
      <c r="AE46" s="73">
        <v>0</v>
      </c>
      <c r="AF46" s="77">
        <v>0</v>
      </c>
      <c r="AG46" s="73">
        <f t="shared" si="28"/>
        <v>25746.36</v>
      </c>
      <c r="AH46" s="74">
        <f t="shared" si="29"/>
        <v>7.88896406168417E-2</v>
      </c>
      <c r="AI46" s="13"/>
      <c r="AJ46" s="13"/>
      <c r="AK46" s="13"/>
      <c r="AL46" s="13"/>
      <c r="AM46" s="13"/>
    </row>
    <row r="47" spans="1:39" s="2" customFormat="1" ht="21" hidden="1" customHeight="1">
      <c r="A47" s="29" t="s">
        <v>56</v>
      </c>
      <c r="B47" s="79" t="s">
        <v>64</v>
      </c>
      <c r="C47" s="71">
        <v>6</v>
      </c>
      <c r="D47" s="71" t="s">
        <v>65</v>
      </c>
      <c r="E47" s="71" t="s">
        <v>35</v>
      </c>
      <c r="F47" s="71" t="s">
        <v>36</v>
      </c>
      <c r="G47" s="71"/>
      <c r="H47" s="71" t="s">
        <v>37</v>
      </c>
      <c r="I47" s="72">
        <v>500</v>
      </c>
      <c r="J47" s="73">
        <v>129.99</v>
      </c>
      <c r="K47" s="73">
        <f t="shared" si="17"/>
        <v>1039.92</v>
      </c>
      <c r="L47" s="19">
        <v>8</v>
      </c>
      <c r="M47" s="73">
        <f t="shared" si="18"/>
        <v>519960</v>
      </c>
      <c r="N47" s="74">
        <v>0.2</v>
      </c>
      <c r="O47" s="75">
        <v>8.49</v>
      </c>
      <c r="P47" s="73">
        <f t="shared" si="19"/>
        <v>215946</v>
      </c>
      <c r="Q47" s="76">
        <f t="shared" si="20"/>
        <v>0.41531271636279699</v>
      </c>
      <c r="R47" s="73">
        <f t="shared" si="21"/>
        <v>51996</v>
      </c>
      <c r="S47" s="76">
        <v>0.1</v>
      </c>
      <c r="T47" s="18">
        <f t="shared" si="22"/>
        <v>252018</v>
      </c>
      <c r="U47" s="22">
        <f t="shared" si="23"/>
        <v>0.48468728363720298</v>
      </c>
      <c r="V47" s="73">
        <f t="shared" si="24"/>
        <v>5199.6000000000004</v>
      </c>
      <c r="W47" s="76">
        <v>0.01</v>
      </c>
      <c r="X47" s="75">
        <v>186</v>
      </c>
      <c r="Y47" s="34">
        <f t="shared" si="25"/>
        <v>93000</v>
      </c>
      <c r="Z47" s="76">
        <f t="shared" si="30"/>
        <v>0.178859912300946</v>
      </c>
      <c r="AA47" s="73">
        <f>7*I47*L47</f>
        <v>28000</v>
      </c>
      <c r="AB47" s="76">
        <v>0.05</v>
      </c>
      <c r="AC47" s="18">
        <f t="shared" ref="AC47:AC52" si="32">M47*0.04</f>
        <v>20798.400000000001</v>
      </c>
      <c r="AD47" s="77">
        <v>0.03</v>
      </c>
      <c r="AE47" s="73">
        <f>(J47*(19%/(1+19%)))*I47*L47</f>
        <v>83018.823529411806</v>
      </c>
      <c r="AF47" s="77">
        <f>AE47/M47</f>
        <v>0.159663865546219</v>
      </c>
      <c r="AG47" s="73">
        <f t="shared" si="28"/>
        <v>22001.1764705883</v>
      </c>
      <c r="AH47" s="74">
        <f t="shared" si="29"/>
        <v>4.2313209613409203E-2</v>
      </c>
    </row>
    <row r="48" spans="1:39" s="2" customFormat="1" ht="21" hidden="1" customHeight="1">
      <c r="A48" s="29" t="s">
        <v>56</v>
      </c>
      <c r="B48" s="79" t="s">
        <v>64</v>
      </c>
      <c r="C48" s="71">
        <v>6</v>
      </c>
      <c r="D48" s="71" t="s">
        <v>66</v>
      </c>
      <c r="E48" s="71" t="s">
        <v>35</v>
      </c>
      <c r="F48" s="71" t="s">
        <v>36</v>
      </c>
      <c r="G48" s="71"/>
      <c r="H48" s="71" t="s">
        <v>43</v>
      </c>
      <c r="I48" s="72">
        <v>200</v>
      </c>
      <c r="J48" s="73">
        <v>99.99</v>
      </c>
      <c r="K48" s="73">
        <f t="shared" si="17"/>
        <v>919.90800000000002</v>
      </c>
      <c r="L48" s="19">
        <v>9.1999999999999993</v>
      </c>
      <c r="M48" s="73">
        <f t="shared" si="18"/>
        <v>183981.6</v>
      </c>
      <c r="N48" s="74">
        <v>0.2</v>
      </c>
      <c r="O48" s="75">
        <v>6.45</v>
      </c>
      <c r="P48" s="73">
        <f t="shared" si="19"/>
        <v>76261.56</v>
      </c>
      <c r="Q48" s="76">
        <f t="shared" si="20"/>
        <v>0.41450645064506503</v>
      </c>
      <c r="R48" s="73">
        <f t="shared" si="21"/>
        <v>18398.16</v>
      </c>
      <c r="S48" s="76">
        <v>0.1</v>
      </c>
      <c r="T48" s="18">
        <f t="shared" si="22"/>
        <v>89321.88</v>
      </c>
      <c r="U48" s="22">
        <f t="shared" si="23"/>
        <v>0.48549354935493499</v>
      </c>
      <c r="V48" s="73">
        <f t="shared" si="24"/>
        <v>3679.6320000000001</v>
      </c>
      <c r="W48" s="76">
        <v>0.02</v>
      </c>
      <c r="X48" s="75">
        <v>170.5</v>
      </c>
      <c r="Y48" s="34">
        <f t="shared" si="25"/>
        <v>34100</v>
      </c>
      <c r="Z48" s="76">
        <f t="shared" si="30"/>
        <v>0.18534462141866401</v>
      </c>
      <c r="AA48" s="73">
        <f>10.13*I48*L48</f>
        <v>18639.2</v>
      </c>
      <c r="AB48" s="76">
        <f>AA48/M48</f>
        <v>0.101310131013101</v>
      </c>
      <c r="AC48" s="18">
        <f t="shared" si="32"/>
        <v>7359.2640000000001</v>
      </c>
      <c r="AD48" s="77">
        <v>0.03</v>
      </c>
      <c r="AE48" s="73">
        <f>(J48*(20%/(1+20%)))*I48*L48</f>
        <v>30663.599999999999</v>
      </c>
      <c r="AF48" s="77">
        <f>AE48/M48</f>
        <v>0.16666666666666699</v>
      </c>
      <c r="AG48" s="73">
        <f t="shared" si="28"/>
        <v>-5119.8160000000198</v>
      </c>
      <c r="AH48" s="74">
        <f t="shared" si="29"/>
        <v>-2.78278697434962E-2</v>
      </c>
    </row>
    <row r="49" spans="1:39" s="1" customFormat="1" ht="21" hidden="1" customHeight="1">
      <c r="A49" s="29" t="s">
        <v>56</v>
      </c>
      <c r="B49" s="70" t="s">
        <v>57</v>
      </c>
      <c r="C49" s="71">
        <v>6</v>
      </c>
      <c r="D49" s="71" t="s">
        <v>67</v>
      </c>
      <c r="E49" s="71" t="s">
        <v>35</v>
      </c>
      <c r="F49" s="71" t="s">
        <v>36</v>
      </c>
      <c r="G49" s="71"/>
      <c r="H49" s="71" t="s">
        <v>68</v>
      </c>
      <c r="I49" s="72">
        <v>300</v>
      </c>
      <c r="J49" s="73">
        <v>164.99</v>
      </c>
      <c r="K49" s="73">
        <f t="shared" si="17"/>
        <v>1319.92</v>
      </c>
      <c r="L49" s="19">
        <v>8</v>
      </c>
      <c r="M49" s="73">
        <f t="shared" si="18"/>
        <v>395976</v>
      </c>
      <c r="N49" s="74">
        <v>0.04</v>
      </c>
      <c r="O49" s="75">
        <v>15</v>
      </c>
      <c r="P49" s="73">
        <f t="shared" si="19"/>
        <v>111235.44</v>
      </c>
      <c r="Q49" s="76">
        <f t="shared" si="20"/>
        <v>0.280914600884902</v>
      </c>
      <c r="R49" s="73">
        <f t="shared" si="21"/>
        <v>47517.120000000003</v>
      </c>
      <c r="S49" s="76">
        <v>0.12</v>
      </c>
      <c r="T49" s="18">
        <f t="shared" si="22"/>
        <v>237223.44</v>
      </c>
      <c r="U49" s="22">
        <f t="shared" si="23"/>
        <v>0.59908539911509795</v>
      </c>
      <c r="V49" s="73">
        <f t="shared" si="24"/>
        <v>3959.76</v>
      </c>
      <c r="W49" s="76">
        <v>0.01</v>
      </c>
      <c r="X49" s="75">
        <v>411</v>
      </c>
      <c r="Y49" s="34">
        <f t="shared" si="25"/>
        <v>123300</v>
      </c>
      <c r="Z49" s="76">
        <f t="shared" si="30"/>
        <v>0.31138250803078998</v>
      </c>
      <c r="AA49" s="73">
        <f>M49*AB49</f>
        <v>31678.080000000002</v>
      </c>
      <c r="AB49" s="76">
        <v>0.08</v>
      </c>
      <c r="AC49" s="18">
        <f t="shared" si="32"/>
        <v>15839.04</v>
      </c>
      <c r="AD49" s="77">
        <v>0.03</v>
      </c>
      <c r="AE49" s="73">
        <f>J49/1.19*0.19*I49*L49</f>
        <v>63223.058823529398</v>
      </c>
      <c r="AF49" s="77">
        <f>AE49/M49</f>
        <v>0.159663865546218</v>
      </c>
      <c r="AG49" s="73">
        <f t="shared" si="28"/>
        <v>-776.49882352940801</v>
      </c>
      <c r="AH49" s="74">
        <f t="shared" si="29"/>
        <v>-1.9609744619103401E-3</v>
      </c>
      <c r="AI49" s="13"/>
      <c r="AJ49" s="13"/>
      <c r="AK49" s="13"/>
      <c r="AL49" s="13"/>
      <c r="AM49" s="13"/>
    </row>
    <row r="50" spans="1:39" s="1" customFormat="1" ht="21" hidden="1" customHeight="1">
      <c r="A50" s="29" t="s">
        <v>56</v>
      </c>
      <c r="B50" s="70" t="s">
        <v>57</v>
      </c>
      <c r="C50" s="71">
        <v>6</v>
      </c>
      <c r="D50" s="71" t="s">
        <v>69</v>
      </c>
      <c r="E50" s="71" t="s">
        <v>35</v>
      </c>
      <c r="F50" s="71" t="s">
        <v>36</v>
      </c>
      <c r="G50" s="71"/>
      <c r="H50" s="71" t="s">
        <v>70</v>
      </c>
      <c r="I50" s="72">
        <v>300</v>
      </c>
      <c r="J50" s="73">
        <v>35.99</v>
      </c>
      <c r="K50" s="73">
        <f t="shared" si="17"/>
        <v>287.92</v>
      </c>
      <c r="L50" s="19">
        <v>8</v>
      </c>
      <c r="M50" s="73">
        <f t="shared" si="18"/>
        <v>86376</v>
      </c>
      <c r="N50" s="74">
        <v>0.15</v>
      </c>
      <c r="O50" s="75">
        <v>5.18</v>
      </c>
      <c r="P50" s="73">
        <f t="shared" si="19"/>
        <v>38344.800000000003</v>
      </c>
      <c r="Q50" s="76">
        <f t="shared" si="20"/>
        <v>0.44392886913031399</v>
      </c>
      <c r="R50" s="73">
        <f t="shared" si="21"/>
        <v>8637.6</v>
      </c>
      <c r="S50" s="76">
        <v>0.1</v>
      </c>
      <c r="T50" s="18">
        <f t="shared" si="22"/>
        <v>39393.599999999999</v>
      </c>
      <c r="U50" s="22">
        <f t="shared" si="23"/>
        <v>0.45607113086968598</v>
      </c>
      <c r="V50" s="34">
        <f t="shared" si="24"/>
        <v>0</v>
      </c>
      <c r="W50" s="76">
        <v>0</v>
      </c>
      <c r="X50" s="75">
        <v>60</v>
      </c>
      <c r="Y50" s="34">
        <f t="shared" si="25"/>
        <v>18000</v>
      </c>
      <c r="Z50" s="76">
        <f t="shared" si="30"/>
        <v>0.20839121978327299</v>
      </c>
      <c r="AA50" s="73">
        <f>M50*AB50</f>
        <v>6910.08</v>
      </c>
      <c r="AB50" s="76">
        <v>0.08</v>
      </c>
      <c r="AC50" s="18">
        <f t="shared" si="32"/>
        <v>3455.04</v>
      </c>
      <c r="AD50" s="77">
        <v>0.02</v>
      </c>
      <c r="AE50" s="73">
        <f>J50/1.19*0.19*I50*L50</f>
        <v>13791.1260504202</v>
      </c>
      <c r="AF50" s="77">
        <f>AE50/M50</f>
        <v>0.159663865546219</v>
      </c>
      <c r="AG50" s="73">
        <f t="shared" si="28"/>
        <v>-2762.6460504202</v>
      </c>
      <c r="AH50" s="74">
        <f t="shared" si="29"/>
        <v>-3.1983954459806001E-2</v>
      </c>
      <c r="AI50" s="13"/>
      <c r="AJ50" s="13"/>
      <c r="AK50" s="13"/>
      <c r="AL50" s="13"/>
      <c r="AM50" s="13"/>
    </row>
    <row r="51" spans="1:39" s="1" customFormat="1" ht="21" hidden="1" customHeight="1">
      <c r="A51" s="29" t="s">
        <v>56</v>
      </c>
      <c r="B51" s="70" t="s">
        <v>57</v>
      </c>
      <c r="C51" s="71">
        <v>6</v>
      </c>
      <c r="D51" s="71" t="s">
        <v>71</v>
      </c>
      <c r="E51" s="71" t="s">
        <v>35</v>
      </c>
      <c r="F51" s="71" t="s">
        <v>36</v>
      </c>
      <c r="G51" s="71"/>
      <c r="H51" s="71" t="s">
        <v>43</v>
      </c>
      <c r="I51" s="72">
        <v>600</v>
      </c>
      <c r="J51" s="73">
        <v>79.989999999999995</v>
      </c>
      <c r="K51" s="73">
        <f t="shared" si="17"/>
        <v>639.91999999999996</v>
      </c>
      <c r="L51" s="19">
        <v>8</v>
      </c>
      <c r="M51" s="73">
        <f t="shared" si="18"/>
        <v>383952</v>
      </c>
      <c r="N51" s="74">
        <v>0.15</v>
      </c>
      <c r="O51" s="75">
        <v>8.6</v>
      </c>
      <c r="P51" s="73">
        <f t="shared" si="19"/>
        <v>156465.60000000001</v>
      </c>
      <c r="Q51" s="76">
        <f t="shared" si="20"/>
        <v>0.40751343917989702</v>
      </c>
      <c r="R51" s="73">
        <f t="shared" si="21"/>
        <v>38395.199999999997</v>
      </c>
      <c r="S51" s="76">
        <v>0.1</v>
      </c>
      <c r="T51" s="18">
        <f t="shared" si="22"/>
        <v>189091.20000000001</v>
      </c>
      <c r="U51" s="22">
        <f t="shared" si="23"/>
        <v>0.492486560820103</v>
      </c>
      <c r="V51" s="73">
        <f t="shared" si="24"/>
        <v>3839.52</v>
      </c>
      <c r="W51" s="76">
        <v>0.01</v>
      </c>
      <c r="X51" s="75">
        <v>142</v>
      </c>
      <c r="Y51" s="34">
        <f t="shared" si="25"/>
        <v>85200</v>
      </c>
      <c r="Z51" s="76">
        <f t="shared" si="30"/>
        <v>0.22190273784223</v>
      </c>
      <c r="AA51" s="73">
        <f>M51*AB51</f>
        <v>30716.16</v>
      </c>
      <c r="AB51" s="76">
        <v>0.08</v>
      </c>
      <c r="AC51" s="18">
        <f t="shared" si="32"/>
        <v>15358.08</v>
      </c>
      <c r="AD51" s="77">
        <v>0.03</v>
      </c>
      <c r="AE51" s="73">
        <f>J51/1.19*0.19*I51*L51</f>
        <v>61303.260504201702</v>
      </c>
      <c r="AF51" s="77">
        <f>AE51/M51</f>
        <v>0.159663865546219</v>
      </c>
      <c r="AG51" s="73">
        <f t="shared" si="28"/>
        <v>-7325.8205042016898</v>
      </c>
      <c r="AH51" s="74">
        <f t="shared" si="29"/>
        <v>-1.9080042568346299E-2</v>
      </c>
      <c r="AI51" s="13"/>
      <c r="AJ51" s="13"/>
      <c r="AK51" s="13"/>
      <c r="AL51" s="13"/>
      <c r="AM51" s="13"/>
    </row>
    <row r="52" spans="1:39" s="1" customFormat="1" ht="21" customHeight="1">
      <c r="A52" s="29" t="s">
        <v>32</v>
      </c>
      <c r="B52" s="79" t="s">
        <v>77</v>
      </c>
      <c r="C52" s="71">
        <v>6</v>
      </c>
      <c r="D52" s="71" t="s">
        <v>78</v>
      </c>
      <c r="E52" s="71" t="s">
        <v>75</v>
      </c>
      <c r="F52" s="71" t="s">
        <v>79</v>
      </c>
      <c r="G52" s="71"/>
      <c r="H52" s="71" t="s">
        <v>37</v>
      </c>
      <c r="I52" s="72">
        <v>500</v>
      </c>
      <c r="J52" s="73">
        <v>64.989999999999995</v>
      </c>
      <c r="K52" s="73">
        <f t="shared" si="17"/>
        <v>441.93200000000002</v>
      </c>
      <c r="L52" s="19">
        <v>6.8</v>
      </c>
      <c r="M52" s="73">
        <f t="shared" si="18"/>
        <v>220966</v>
      </c>
      <c r="N52" s="74">
        <v>0.15</v>
      </c>
      <c r="O52" s="75">
        <v>8.6</v>
      </c>
      <c r="P52" s="73">
        <f t="shared" si="19"/>
        <v>95529.8</v>
      </c>
      <c r="Q52" s="76">
        <f t="shared" si="20"/>
        <v>0.432328050469303</v>
      </c>
      <c r="R52" s="73">
        <f t="shared" si="21"/>
        <v>33144.9</v>
      </c>
      <c r="S52" s="76">
        <v>0.15</v>
      </c>
      <c r="T52" s="18">
        <f t="shared" si="22"/>
        <v>92291.3</v>
      </c>
      <c r="U52" s="22">
        <f t="shared" si="23"/>
        <v>0.41767194953069697</v>
      </c>
      <c r="V52" s="73">
        <f t="shared" si="24"/>
        <v>11048.3</v>
      </c>
      <c r="W52" s="76">
        <v>0.05</v>
      </c>
      <c r="X52" s="75">
        <v>135</v>
      </c>
      <c r="Y52" s="34">
        <f t="shared" si="25"/>
        <v>67500</v>
      </c>
      <c r="Z52" s="76">
        <f t="shared" si="30"/>
        <v>0.3054768606935</v>
      </c>
      <c r="AA52" s="73">
        <f>M52*AB52</f>
        <v>8838.64</v>
      </c>
      <c r="AB52" s="76">
        <v>0.04</v>
      </c>
      <c r="AC52" s="18">
        <f t="shared" si="32"/>
        <v>8838.64</v>
      </c>
      <c r="AD52" s="77">
        <v>0.02</v>
      </c>
      <c r="AE52" s="73">
        <v>0</v>
      </c>
      <c r="AF52" s="77">
        <v>0</v>
      </c>
      <c r="AG52" s="73">
        <f t="shared" si="28"/>
        <v>-3934.2800000000102</v>
      </c>
      <c r="AH52" s="74">
        <f t="shared" si="29"/>
        <v>-1.7804911162803399E-2</v>
      </c>
    </row>
    <row r="53" spans="1:39" s="1" customFormat="1" ht="21" customHeight="1">
      <c r="A53" s="29" t="s">
        <v>32</v>
      </c>
      <c r="B53" s="79" t="s">
        <v>77</v>
      </c>
      <c r="C53" s="71">
        <v>6</v>
      </c>
      <c r="D53" s="71" t="s">
        <v>80</v>
      </c>
      <c r="E53" s="71" t="s">
        <v>75</v>
      </c>
      <c r="F53" s="71" t="s">
        <v>79</v>
      </c>
      <c r="G53" s="71"/>
      <c r="H53" s="71" t="s">
        <v>37</v>
      </c>
      <c r="I53" s="72">
        <v>300</v>
      </c>
      <c r="J53" s="73">
        <v>69.989999999999995</v>
      </c>
      <c r="K53" s="73">
        <f t="shared" si="17"/>
        <v>475.93200000000002</v>
      </c>
      <c r="L53" s="19">
        <v>6.8</v>
      </c>
      <c r="M53" s="73">
        <f t="shared" si="18"/>
        <v>142779.6</v>
      </c>
      <c r="N53" s="74">
        <v>0.14000000000000001</v>
      </c>
      <c r="O53" s="75">
        <v>8.6</v>
      </c>
      <c r="P53" s="73">
        <f t="shared" si="19"/>
        <v>58950.084000000003</v>
      </c>
      <c r="Q53" s="76">
        <f t="shared" si="20"/>
        <v>0.41287469638519803</v>
      </c>
      <c r="R53" s="73">
        <f t="shared" si="21"/>
        <v>28555.919999999998</v>
      </c>
      <c r="S53" s="76">
        <v>0.2</v>
      </c>
      <c r="T53" s="18">
        <f t="shared" si="22"/>
        <v>55273.595999999998</v>
      </c>
      <c r="U53" s="22">
        <f t="shared" si="23"/>
        <v>0.38712530361480202</v>
      </c>
      <c r="V53" s="73">
        <f t="shared" si="24"/>
        <v>11422.368</v>
      </c>
      <c r="W53" s="76">
        <v>0.08</v>
      </c>
      <c r="X53" s="75">
        <v>145</v>
      </c>
      <c r="Y53" s="34">
        <f t="shared" si="25"/>
        <v>43500</v>
      </c>
      <c r="Z53" s="76">
        <f t="shared" si="30"/>
        <v>0.304665372364119</v>
      </c>
      <c r="AA53" s="73">
        <f>M53*AB53</f>
        <v>5711.1840000000002</v>
      </c>
      <c r="AB53" s="76">
        <v>0.04</v>
      </c>
      <c r="AC53" s="18">
        <f>M53*0.02</f>
        <v>2855.5920000000001</v>
      </c>
      <c r="AD53" s="77">
        <v>0.02</v>
      </c>
      <c r="AE53" s="73">
        <v>0</v>
      </c>
      <c r="AF53" s="77">
        <v>0</v>
      </c>
      <c r="AG53" s="73">
        <f t="shared" si="28"/>
        <v>-8215.5480000000207</v>
      </c>
      <c r="AH53" s="74">
        <f t="shared" si="29"/>
        <v>-5.7540068749317302E-2</v>
      </c>
    </row>
    <row r="54" spans="1:39" s="2" customFormat="1" ht="21" hidden="1" customHeight="1">
      <c r="A54" s="29" t="s">
        <v>56</v>
      </c>
      <c r="B54" s="80" t="s">
        <v>72</v>
      </c>
      <c r="C54" s="71">
        <v>6</v>
      </c>
      <c r="D54" s="71" t="s">
        <v>73</v>
      </c>
      <c r="E54" s="71" t="s">
        <v>35</v>
      </c>
      <c r="F54" s="71" t="s">
        <v>36</v>
      </c>
      <c r="G54" s="71"/>
      <c r="H54" s="71" t="s">
        <v>43</v>
      </c>
      <c r="I54" s="72">
        <v>200</v>
      </c>
      <c r="J54" s="73">
        <v>62.99</v>
      </c>
      <c r="K54" s="73">
        <f t="shared" si="17"/>
        <v>579.50800000000004</v>
      </c>
      <c r="L54" s="19">
        <v>9.1999999999999993</v>
      </c>
      <c r="M54" s="73">
        <f t="shared" si="18"/>
        <v>115901.6</v>
      </c>
      <c r="N54" s="74">
        <v>7.0000000000000007E-2</v>
      </c>
      <c r="O54" s="75">
        <v>6.11</v>
      </c>
      <c r="P54" s="73">
        <f t="shared" si="19"/>
        <v>36740.752</v>
      </c>
      <c r="Q54" s="76">
        <f t="shared" si="20"/>
        <v>0.31699952373392598</v>
      </c>
      <c r="R54" s="73">
        <f t="shared" si="21"/>
        <v>11590.16</v>
      </c>
      <c r="S54" s="76">
        <v>0.1</v>
      </c>
      <c r="T54" s="18">
        <f t="shared" si="22"/>
        <v>67570.687999999995</v>
      </c>
      <c r="U54" s="22">
        <f t="shared" si="23"/>
        <v>0.58300047626607399</v>
      </c>
      <c r="V54" s="73">
        <f t="shared" si="24"/>
        <v>2318.0320000000002</v>
      </c>
      <c r="W54" s="76">
        <v>0.02</v>
      </c>
      <c r="X54" s="75">
        <v>142</v>
      </c>
      <c r="Y54" s="34">
        <f t="shared" si="25"/>
        <v>28400</v>
      </c>
      <c r="Z54" s="76">
        <f t="shared" si="30"/>
        <v>0.245035443859274</v>
      </c>
      <c r="AA54" s="73">
        <f>6.11*I54*L54</f>
        <v>11242.4</v>
      </c>
      <c r="AB54" s="76">
        <v>7.0000000000000007E-2</v>
      </c>
      <c r="AC54" s="18">
        <f>M54*0.04</f>
        <v>4636.0640000000003</v>
      </c>
      <c r="AD54" s="77">
        <v>0.03</v>
      </c>
      <c r="AE54" s="73">
        <f>(M54-M54*0.2)*0.2</f>
        <v>18544.256000000001</v>
      </c>
      <c r="AF54" s="77">
        <f>AE54/M54</f>
        <v>0.16</v>
      </c>
      <c r="AG54" s="73">
        <f t="shared" si="28"/>
        <v>2429.9359999999901</v>
      </c>
      <c r="AH54" s="74">
        <f t="shared" si="29"/>
        <v>2.0965508672874202E-2</v>
      </c>
    </row>
    <row r="55" spans="1:39" s="2" customFormat="1" ht="21" customHeight="1">
      <c r="A55" s="29" t="s">
        <v>32</v>
      </c>
      <c r="B55" s="79" t="s">
        <v>81</v>
      </c>
      <c r="C55" s="71">
        <v>6</v>
      </c>
      <c r="D55" s="71" t="s">
        <v>82</v>
      </c>
      <c r="E55" s="71" t="s">
        <v>75</v>
      </c>
      <c r="F55" s="71" t="s">
        <v>79</v>
      </c>
      <c r="G55" s="71"/>
      <c r="H55" s="71" t="s">
        <v>43</v>
      </c>
      <c r="I55" s="72">
        <v>800</v>
      </c>
      <c r="J55" s="73">
        <v>129.99</v>
      </c>
      <c r="K55" s="73">
        <f t="shared" si="17"/>
        <v>883.93200000000002</v>
      </c>
      <c r="L55" s="19">
        <v>6.8</v>
      </c>
      <c r="M55" s="73">
        <f t="shared" si="18"/>
        <v>707145.6</v>
      </c>
      <c r="N55" s="67">
        <v>0.15</v>
      </c>
      <c r="O55" s="75">
        <v>16.72</v>
      </c>
      <c r="P55" s="73">
        <f t="shared" si="19"/>
        <v>303100.48</v>
      </c>
      <c r="Q55" s="76">
        <f t="shared" si="20"/>
        <v>0.42862527886760499</v>
      </c>
      <c r="R55" s="73">
        <f t="shared" si="21"/>
        <v>70714.559999999998</v>
      </c>
      <c r="S55" s="76">
        <v>0.1</v>
      </c>
      <c r="T55" s="18">
        <f t="shared" si="22"/>
        <v>333330.56</v>
      </c>
      <c r="U55" s="22">
        <f t="shared" si="23"/>
        <v>0.47137472113239498</v>
      </c>
      <c r="V55" s="73">
        <f t="shared" si="24"/>
        <v>21214.367999999999</v>
      </c>
      <c r="W55" s="76">
        <v>0.03</v>
      </c>
      <c r="X55" s="75">
        <v>178</v>
      </c>
      <c r="Y55" s="34">
        <f t="shared" si="25"/>
        <v>142400</v>
      </c>
      <c r="Z55" s="76">
        <f t="shared" si="30"/>
        <v>0.201372956290755</v>
      </c>
      <c r="AA55" s="73">
        <f>6.2*I55*L55</f>
        <v>33728</v>
      </c>
      <c r="AB55" s="76">
        <f>AA55/M55</f>
        <v>4.7695976613585697E-2</v>
      </c>
      <c r="AC55" s="18">
        <f>M55*0.03</f>
        <v>21214.367999999999</v>
      </c>
      <c r="AD55" s="38">
        <v>0.03</v>
      </c>
      <c r="AE55" s="73">
        <v>0</v>
      </c>
      <c r="AF55" s="77">
        <v>0</v>
      </c>
      <c r="AG55" s="73">
        <f t="shared" si="28"/>
        <v>114773.82399999999</v>
      </c>
      <c r="AH55" s="74">
        <f t="shared" si="29"/>
        <v>0.162305788228054</v>
      </c>
    </row>
    <row r="56" spans="1:39" s="2" customFormat="1" ht="21" customHeight="1">
      <c r="A56" s="29" t="s">
        <v>32</v>
      </c>
      <c r="B56" s="79" t="s">
        <v>81</v>
      </c>
      <c r="C56" s="71">
        <v>6</v>
      </c>
      <c r="D56" s="71" t="s">
        <v>83</v>
      </c>
      <c r="E56" s="71" t="s">
        <v>75</v>
      </c>
      <c r="F56" s="71" t="s">
        <v>79</v>
      </c>
      <c r="G56" s="71"/>
      <c r="H56" s="71" t="s">
        <v>43</v>
      </c>
      <c r="I56" s="72">
        <v>4800</v>
      </c>
      <c r="J56" s="73">
        <v>129.99</v>
      </c>
      <c r="K56" s="73">
        <f t="shared" si="17"/>
        <v>883.93200000000002</v>
      </c>
      <c r="L56" s="19">
        <v>6.8</v>
      </c>
      <c r="M56" s="73">
        <f t="shared" si="18"/>
        <v>4242873.5999999996</v>
      </c>
      <c r="N56" s="35">
        <v>0.14000000000000001</v>
      </c>
      <c r="O56" s="75">
        <v>16.72</v>
      </c>
      <c r="P56" s="73">
        <f t="shared" si="19"/>
        <v>1776174.1440000001</v>
      </c>
      <c r="Q56" s="76">
        <f t="shared" si="20"/>
        <v>0.41862527886760498</v>
      </c>
      <c r="R56" s="73">
        <f t="shared" si="21"/>
        <v>763717.24800000002</v>
      </c>
      <c r="S56" s="76">
        <v>0.18</v>
      </c>
      <c r="T56" s="18">
        <f t="shared" si="22"/>
        <v>1702982.2080000001</v>
      </c>
      <c r="U56" s="22">
        <f t="shared" si="23"/>
        <v>0.40137472113239497</v>
      </c>
      <c r="V56" s="73">
        <f t="shared" si="24"/>
        <v>127286.208</v>
      </c>
      <c r="W56" s="76">
        <v>0.03</v>
      </c>
      <c r="X56" s="75">
        <v>200</v>
      </c>
      <c r="Y56" s="34">
        <f t="shared" si="25"/>
        <v>960000</v>
      </c>
      <c r="Z56" s="76">
        <f t="shared" si="30"/>
        <v>0.226261748641298</v>
      </c>
      <c r="AA56" s="73">
        <f>6.2*I56*L56</f>
        <v>202368</v>
      </c>
      <c r="AB56" s="76">
        <f>AA56/M56</f>
        <v>4.7695976613585697E-2</v>
      </c>
      <c r="AC56" s="18">
        <f>M56*0.03</f>
        <v>127286.208</v>
      </c>
      <c r="AD56" s="38">
        <v>0.03</v>
      </c>
      <c r="AE56" s="73">
        <v>0</v>
      </c>
      <c r="AF56" s="77">
        <v>0</v>
      </c>
      <c r="AG56" s="73">
        <f t="shared" si="28"/>
        <v>286041.79200000002</v>
      </c>
      <c r="AH56" s="74">
        <f t="shared" si="29"/>
        <v>6.7416995877510905E-2</v>
      </c>
    </row>
    <row r="57" spans="1:39" s="2" customFormat="1" ht="21" hidden="1" customHeight="1">
      <c r="A57" s="29" t="s">
        <v>56</v>
      </c>
      <c r="B57" s="80" t="s">
        <v>72</v>
      </c>
      <c r="C57" s="71">
        <v>6</v>
      </c>
      <c r="D57" s="71" t="s">
        <v>74</v>
      </c>
      <c r="E57" s="71" t="s">
        <v>75</v>
      </c>
      <c r="F57" s="71" t="s">
        <v>36</v>
      </c>
      <c r="G57" s="71" t="s">
        <v>76</v>
      </c>
      <c r="H57" s="71" t="s">
        <v>43</v>
      </c>
      <c r="I57" s="72">
        <v>150</v>
      </c>
      <c r="J57" s="73">
        <v>299.99</v>
      </c>
      <c r="K57" s="73">
        <f t="shared" si="17"/>
        <v>2039.932</v>
      </c>
      <c r="L57" s="78">
        <v>6.8</v>
      </c>
      <c r="M57" s="73">
        <f t="shared" si="18"/>
        <v>305989.8</v>
      </c>
      <c r="N57" s="74">
        <v>0.2</v>
      </c>
      <c r="O57" s="75">
        <v>22.92</v>
      </c>
      <c r="P57" s="73">
        <f>(J57*0.15*I57+O57*I57)*L57+J57*I57*N57</f>
        <v>78276.570000000007</v>
      </c>
      <c r="Q57" s="76">
        <f t="shared" si="20"/>
        <v>0.25581431145744099</v>
      </c>
      <c r="R57" s="73">
        <f t="shared" si="21"/>
        <v>61197.96</v>
      </c>
      <c r="S57" s="76">
        <v>0.2</v>
      </c>
      <c r="T57" s="18">
        <f t="shared" si="22"/>
        <v>166515.26999999999</v>
      </c>
      <c r="U57" s="22">
        <f t="shared" si="23"/>
        <v>0.544185688542559</v>
      </c>
      <c r="V57" s="73">
        <f t="shared" si="24"/>
        <v>55078.163999999997</v>
      </c>
      <c r="W57" s="76">
        <v>0.18</v>
      </c>
      <c r="X57" s="75">
        <v>605</v>
      </c>
      <c r="Y57" s="34">
        <f t="shared" si="25"/>
        <v>90750</v>
      </c>
      <c r="Z57" s="76">
        <f t="shared" si="30"/>
        <v>0.29657851340142699</v>
      </c>
      <c r="AA57" s="73">
        <f>M57*AB57</f>
        <v>18359.387999999999</v>
      </c>
      <c r="AB57" s="76">
        <v>0.06</v>
      </c>
      <c r="AC57" s="18">
        <f>M57*0.04</f>
        <v>12239.592000000001</v>
      </c>
      <c r="AD57" s="77">
        <v>0.03</v>
      </c>
      <c r="AE57" s="73">
        <v>0</v>
      </c>
      <c r="AF57" s="77">
        <v>0</v>
      </c>
      <c r="AG57" s="73">
        <f t="shared" si="28"/>
        <v>-9911.8739999999998</v>
      </c>
      <c r="AH57" s="74">
        <f t="shared" si="29"/>
        <v>-3.2392824858867797E-2</v>
      </c>
    </row>
    <row r="58" spans="1:39" s="1" customFormat="1" ht="21" hidden="1" customHeight="1">
      <c r="A58" s="14" t="s">
        <v>32</v>
      </c>
      <c r="B58" s="81" t="s">
        <v>84</v>
      </c>
      <c r="C58" s="80">
        <v>6</v>
      </c>
      <c r="D58" s="82" t="s">
        <v>85</v>
      </c>
      <c r="E58" s="82" t="s">
        <v>75</v>
      </c>
      <c r="F58" s="82" t="s">
        <v>36</v>
      </c>
      <c r="G58" s="71" t="s">
        <v>76</v>
      </c>
      <c r="H58" s="82" t="s">
        <v>70</v>
      </c>
      <c r="I58" s="72">
        <v>50</v>
      </c>
      <c r="J58" s="73">
        <v>33.99</v>
      </c>
      <c r="K58" s="73">
        <v>251.93</v>
      </c>
      <c r="L58" s="19">
        <v>6.8</v>
      </c>
      <c r="M58" s="73">
        <f t="shared" si="18"/>
        <v>12596.5</v>
      </c>
      <c r="N58" s="74">
        <v>0.04</v>
      </c>
      <c r="O58" s="75">
        <v>11.47</v>
      </c>
      <c r="P58" s="73">
        <f t="shared" ref="P58:P75" si="33">(J58*0.15*I58+O58*I58)*L58+M58*N58</f>
        <v>6137.15</v>
      </c>
      <c r="Q58" s="76">
        <v>0.32528440439804701</v>
      </c>
      <c r="R58" s="73">
        <f t="shared" si="21"/>
        <v>3778.95</v>
      </c>
      <c r="S58" s="76">
        <v>0.3</v>
      </c>
      <c r="T58" s="18">
        <f t="shared" si="22"/>
        <v>2680.4</v>
      </c>
      <c r="U58" s="22">
        <f t="shared" si="23"/>
        <v>0.21278926685984201</v>
      </c>
      <c r="V58" s="73">
        <f t="shared" si="24"/>
        <v>377.89499999999998</v>
      </c>
      <c r="W58" s="76">
        <v>0.03</v>
      </c>
      <c r="X58" s="75">
        <v>45.7</v>
      </c>
      <c r="Y58" s="34">
        <f t="shared" si="25"/>
        <v>2285</v>
      </c>
      <c r="Z58" s="76">
        <v>0.26</v>
      </c>
      <c r="AA58" s="73">
        <f>0.4*I58*L58</f>
        <v>136</v>
      </c>
      <c r="AB58" s="76">
        <f t="shared" ref="AB58:AB64" si="34">AA58/M58</f>
        <v>1.0796649863057201E-2</v>
      </c>
      <c r="AC58" s="18">
        <f>M58*0.03</f>
        <v>377.89499999999998</v>
      </c>
      <c r="AD58" s="77">
        <v>0.03</v>
      </c>
      <c r="AE58" s="73">
        <v>0</v>
      </c>
      <c r="AF58" s="77">
        <v>0</v>
      </c>
      <c r="AG58" s="73">
        <f t="shared" si="28"/>
        <v>-496.38999999999902</v>
      </c>
      <c r="AH58" s="74">
        <f t="shared" si="29"/>
        <v>-3.9406978128845298E-2</v>
      </c>
      <c r="AI58" s="13"/>
      <c r="AJ58" s="13"/>
      <c r="AK58" s="13"/>
      <c r="AL58" s="13"/>
      <c r="AM58" s="13"/>
    </row>
    <row r="59" spans="1:39" s="1" customFormat="1" ht="21" hidden="1" customHeight="1">
      <c r="A59" s="14" t="s">
        <v>32</v>
      </c>
      <c r="B59" s="81" t="s">
        <v>84</v>
      </c>
      <c r="C59" s="80">
        <v>6</v>
      </c>
      <c r="D59" s="82" t="s">
        <v>86</v>
      </c>
      <c r="E59" s="82" t="s">
        <v>75</v>
      </c>
      <c r="F59" s="82" t="s">
        <v>36</v>
      </c>
      <c r="G59" s="71" t="s">
        <v>76</v>
      </c>
      <c r="H59" s="82" t="s">
        <v>70</v>
      </c>
      <c r="I59" s="72">
        <v>50</v>
      </c>
      <c r="J59" s="73">
        <v>37.99</v>
      </c>
      <c r="K59" s="73">
        <v>251.93</v>
      </c>
      <c r="L59" s="19">
        <v>6.8</v>
      </c>
      <c r="M59" s="73">
        <f t="shared" ref="M59:M75" si="35">I59*K59</f>
        <v>12596.5</v>
      </c>
      <c r="N59" s="74">
        <v>0.04</v>
      </c>
      <c r="O59" s="75">
        <v>11.47</v>
      </c>
      <c r="P59" s="73">
        <f t="shared" si="33"/>
        <v>6341.15</v>
      </c>
      <c r="Q59" s="76">
        <v>0.32528440439804701</v>
      </c>
      <c r="R59" s="73">
        <f t="shared" ref="R59:R75" si="36">M59*S59</f>
        <v>3778.95</v>
      </c>
      <c r="S59" s="76">
        <v>0.3</v>
      </c>
      <c r="T59" s="18">
        <f t="shared" ref="T59:T75" si="37">M59-P59-R59</f>
        <v>2476.4</v>
      </c>
      <c r="U59" s="22">
        <f t="shared" ref="U59:U75" si="38">T59/M59</f>
        <v>0.196594292065256</v>
      </c>
      <c r="V59" s="73">
        <f t="shared" ref="V59:V75" si="39">M59*W59</f>
        <v>377.89499999999998</v>
      </c>
      <c r="W59" s="76">
        <v>0.03</v>
      </c>
      <c r="X59" s="75">
        <v>56.9</v>
      </c>
      <c r="Y59" s="34">
        <f t="shared" si="25"/>
        <v>2845</v>
      </c>
      <c r="Z59" s="76">
        <v>0.26</v>
      </c>
      <c r="AA59" s="73">
        <f>0.6*I59*L59</f>
        <v>204</v>
      </c>
      <c r="AB59" s="76">
        <f t="shared" si="34"/>
        <v>1.6194974794585801E-2</v>
      </c>
      <c r="AC59" s="18">
        <f>M59*0.03</f>
        <v>377.89499999999998</v>
      </c>
      <c r="AD59" s="77">
        <v>0.03</v>
      </c>
      <c r="AE59" s="73">
        <v>0</v>
      </c>
      <c r="AF59" s="77">
        <v>0</v>
      </c>
      <c r="AG59" s="73">
        <f t="shared" ref="AG59:AG75" si="40">T59-V59-Y59-AA59-AC59-AE59</f>
        <v>-1328.39</v>
      </c>
      <c r="AH59" s="74">
        <f t="shared" ref="AH59:AH75" si="41">AG59/M59</f>
        <v>-0.105457071408725</v>
      </c>
      <c r="AI59" s="13"/>
      <c r="AJ59" s="13"/>
      <c r="AK59" s="13"/>
      <c r="AL59" s="13"/>
      <c r="AM59" s="13"/>
    </row>
    <row r="60" spans="1:39" s="1" customFormat="1" ht="21" hidden="1" customHeight="1">
      <c r="A60" s="14" t="s">
        <v>32</v>
      </c>
      <c r="B60" s="28" t="s">
        <v>33</v>
      </c>
      <c r="C60" s="26">
        <v>7</v>
      </c>
      <c r="D60" s="16" t="s">
        <v>87</v>
      </c>
      <c r="E60" s="16" t="s">
        <v>35</v>
      </c>
      <c r="F60" s="16" t="s">
        <v>36</v>
      </c>
      <c r="G60" s="16" t="s">
        <v>76</v>
      </c>
      <c r="H60" s="16" t="s">
        <v>37</v>
      </c>
      <c r="I60" s="17">
        <v>100</v>
      </c>
      <c r="J60" s="18">
        <v>79.989999999999995</v>
      </c>
      <c r="K60" s="18">
        <f t="shared" ref="K60:K75" si="42">J60*L60</f>
        <v>543.93200000000002</v>
      </c>
      <c r="L60" s="19">
        <v>6.8</v>
      </c>
      <c r="M60" s="18">
        <f t="shared" si="35"/>
        <v>54393.2</v>
      </c>
      <c r="N60" s="20">
        <v>0.15</v>
      </c>
      <c r="O60" s="21">
        <v>9.8000000000000007</v>
      </c>
      <c r="P60" s="18">
        <f t="shared" si="33"/>
        <v>22981.96</v>
      </c>
      <c r="Q60" s="22">
        <f t="shared" ref="Q60:Q75" si="43">P60/M60</f>
        <v>0.42251531441430201</v>
      </c>
      <c r="R60" s="18">
        <f t="shared" si="36"/>
        <v>13598.3</v>
      </c>
      <c r="S60" s="22">
        <v>0.25</v>
      </c>
      <c r="T60" s="18">
        <f t="shared" si="37"/>
        <v>17812.939999999999</v>
      </c>
      <c r="U60" s="22">
        <f t="shared" si="38"/>
        <v>0.32748468558569799</v>
      </c>
      <c r="V60" s="21">
        <f t="shared" si="39"/>
        <v>2719.66</v>
      </c>
      <c r="W60" s="22">
        <v>0.05</v>
      </c>
      <c r="X60" s="21">
        <v>150</v>
      </c>
      <c r="Y60" s="18">
        <f t="shared" si="25"/>
        <v>15000</v>
      </c>
      <c r="Z60" s="22">
        <f t="shared" ref="Z60:Z66" si="44">Y60/M60</f>
        <v>0.27576976533831399</v>
      </c>
      <c r="AA60" s="27">
        <f>2.8*I60*L60</f>
        <v>1904</v>
      </c>
      <c r="AB60" s="20">
        <f t="shared" si="34"/>
        <v>3.5004375546943398E-2</v>
      </c>
      <c r="AC60" s="18">
        <f>M60*AD60</f>
        <v>1631.796</v>
      </c>
      <c r="AD60" s="24">
        <v>0.03</v>
      </c>
      <c r="AE60" s="18">
        <v>0</v>
      </c>
      <c r="AF60" s="24">
        <v>0</v>
      </c>
      <c r="AG60" s="18">
        <f t="shared" si="40"/>
        <v>-3442.5160000000001</v>
      </c>
      <c r="AH60" s="20">
        <f t="shared" si="41"/>
        <v>-6.3289455299559594E-2</v>
      </c>
    </row>
    <row r="61" spans="1:39" s="2" customFormat="1" ht="21" hidden="1" customHeight="1">
      <c r="A61" s="14" t="s">
        <v>32</v>
      </c>
      <c r="B61" s="15" t="s">
        <v>38</v>
      </c>
      <c r="C61" s="26">
        <v>7</v>
      </c>
      <c r="D61" s="16" t="s">
        <v>88</v>
      </c>
      <c r="E61" s="16" t="s">
        <v>35</v>
      </c>
      <c r="F61" s="16" t="s">
        <v>36</v>
      </c>
      <c r="G61" s="16" t="s">
        <v>76</v>
      </c>
      <c r="H61" s="16" t="s">
        <v>70</v>
      </c>
      <c r="I61" s="17">
        <v>100</v>
      </c>
      <c r="J61" s="18">
        <v>29.99</v>
      </c>
      <c r="K61" s="27">
        <f t="shared" si="42"/>
        <v>203.93199999999999</v>
      </c>
      <c r="L61" s="19">
        <v>6.8</v>
      </c>
      <c r="M61" s="27">
        <f t="shared" si="35"/>
        <v>20393.2</v>
      </c>
      <c r="N61" s="20">
        <v>0.12</v>
      </c>
      <c r="O61" s="21">
        <v>5.8</v>
      </c>
      <c r="P61" s="66">
        <f t="shared" si="33"/>
        <v>9450.1640000000007</v>
      </c>
      <c r="Q61" s="22">
        <f t="shared" si="43"/>
        <v>0.46339779926642199</v>
      </c>
      <c r="R61" s="27">
        <f t="shared" si="36"/>
        <v>6117.96</v>
      </c>
      <c r="S61" s="22">
        <v>0.3</v>
      </c>
      <c r="T61" s="18">
        <f t="shared" si="37"/>
        <v>4825.076</v>
      </c>
      <c r="U61" s="22">
        <f t="shared" si="38"/>
        <v>0.23660220073357799</v>
      </c>
      <c r="V61" s="21">
        <f t="shared" si="39"/>
        <v>611.79600000000005</v>
      </c>
      <c r="W61" s="22">
        <v>0.03</v>
      </c>
      <c r="X61" s="21">
        <v>40</v>
      </c>
      <c r="Y61" s="18">
        <f t="shared" si="25"/>
        <v>4000</v>
      </c>
      <c r="Z61" s="22">
        <f t="shared" si="44"/>
        <v>0.19614381264343</v>
      </c>
      <c r="AA61" s="27">
        <f>0.91*I61*L61</f>
        <v>618.79999999999995</v>
      </c>
      <c r="AB61" s="22">
        <f t="shared" si="34"/>
        <v>3.03434478159386E-2</v>
      </c>
      <c r="AC61" s="18">
        <f t="shared" ref="AC61:AC75" si="45">M61*0.04</f>
        <v>815.72799999999995</v>
      </c>
      <c r="AD61" s="24">
        <f>AC61/M61</f>
        <v>0.04</v>
      </c>
      <c r="AE61" s="18">
        <v>0</v>
      </c>
      <c r="AF61" s="24">
        <f t="shared" ref="AF61:AF66" si="46">AE61/M61</f>
        <v>0</v>
      </c>
      <c r="AG61" s="18">
        <f t="shared" si="40"/>
        <v>-1221.248</v>
      </c>
      <c r="AH61" s="20">
        <f t="shared" si="41"/>
        <v>-5.9885059725791001E-2</v>
      </c>
    </row>
    <row r="62" spans="1:39" s="2" customFormat="1" ht="21" hidden="1" customHeight="1">
      <c r="A62" s="14" t="s">
        <v>32</v>
      </c>
      <c r="B62" s="15" t="s">
        <v>38</v>
      </c>
      <c r="C62" s="26">
        <v>7</v>
      </c>
      <c r="D62" s="16" t="s">
        <v>89</v>
      </c>
      <c r="E62" s="16" t="s">
        <v>35</v>
      </c>
      <c r="F62" s="16" t="s">
        <v>36</v>
      </c>
      <c r="G62" s="16" t="s">
        <v>76</v>
      </c>
      <c r="H62" s="16" t="s">
        <v>70</v>
      </c>
      <c r="I62" s="17">
        <v>200</v>
      </c>
      <c r="J62" s="18">
        <v>49.99</v>
      </c>
      <c r="K62" s="27">
        <f t="shared" si="42"/>
        <v>339.93200000000002</v>
      </c>
      <c r="L62" s="19">
        <v>6.8</v>
      </c>
      <c r="M62" s="27">
        <f t="shared" si="35"/>
        <v>67986.399999999994</v>
      </c>
      <c r="N62" s="20">
        <v>0.12</v>
      </c>
      <c r="O62" s="21">
        <v>6.35</v>
      </c>
      <c r="P62" s="66">
        <f t="shared" si="33"/>
        <v>26992.328000000001</v>
      </c>
      <c r="Q62" s="22">
        <f t="shared" si="43"/>
        <v>0.39702540508101603</v>
      </c>
      <c r="R62" s="27">
        <f t="shared" si="36"/>
        <v>20395.919999999998</v>
      </c>
      <c r="S62" s="22">
        <v>0.3</v>
      </c>
      <c r="T62" s="18">
        <f t="shared" si="37"/>
        <v>20598.151999999998</v>
      </c>
      <c r="U62" s="22">
        <f t="shared" si="38"/>
        <v>0.30297459491898399</v>
      </c>
      <c r="V62" s="21">
        <f t="shared" si="39"/>
        <v>2039.5920000000001</v>
      </c>
      <c r="W62" s="22">
        <v>0.03</v>
      </c>
      <c r="X62" s="21">
        <v>80</v>
      </c>
      <c r="Y62" s="18">
        <f t="shared" si="25"/>
        <v>16000</v>
      </c>
      <c r="Z62" s="22">
        <f t="shared" si="44"/>
        <v>0.235341185884236</v>
      </c>
      <c r="AA62" s="27">
        <f>1.55*I62*L62</f>
        <v>2108</v>
      </c>
      <c r="AB62" s="22">
        <f t="shared" si="34"/>
        <v>3.1006201240247999E-2</v>
      </c>
      <c r="AC62" s="18">
        <f t="shared" si="45"/>
        <v>2719.4560000000001</v>
      </c>
      <c r="AD62" s="24">
        <f>AC62/M62</f>
        <v>0.04</v>
      </c>
      <c r="AE62" s="18">
        <v>0</v>
      </c>
      <c r="AF62" s="24">
        <f t="shared" si="46"/>
        <v>0</v>
      </c>
      <c r="AG62" s="18">
        <f t="shared" si="40"/>
        <v>-2268.8960000000002</v>
      </c>
      <c r="AH62" s="20">
        <f t="shared" si="41"/>
        <v>-3.33727922054999E-2</v>
      </c>
    </row>
    <row r="63" spans="1:39" s="2" customFormat="1" ht="21" hidden="1" customHeight="1">
      <c r="A63" s="14" t="s">
        <v>32</v>
      </c>
      <c r="B63" s="15" t="s">
        <v>90</v>
      </c>
      <c r="C63" s="26">
        <v>7</v>
      </c>
      <c r="D63" s="16" t="s">
        <v>91</v>
      </c>
      <c r="E63" s="16" t="s">
        <v>35</v>
      </c>
      <c r="F63" s="16" t="s">
        <v>36</v>
      </c>
      <c r="G63" s="16"/>
      <c r="H63" s="16" t="s">
        <v>37</v>
      </c>
      <c r="I63" s="17">
        <v>800</v>
      </c>
      <c r="J63" s="18">
        <v>29.99</v>
      </c>
      <c r="K63" s="27">
        <f t="shared" si="42"/>
        <v>203.93199999999999</v>
      </c>
      <c r="L63" s="19">
        <v>6.8</v>
      </c>
      <c r="M63" s="27">
        <f t="shared" si="35"/>
        <v>163145.60000000001</v>
      </c>
      <c r="N63" s="20">
        <v>0.08</v>
      </c>
      <c r="O63" s="21">
        <v>4.54</v>
      </c>
      <c r="P63" s="18">
        <f t="shared" si="33"/>
        <v>62221.088000000003</v>
      </c>
      <c r="Q63" s="22">
        <f t="shared" si="43"/>
        <v>0.38138379459819899</v>
      </c>
      <c r="R63" s="27">
        <f t="shared" si="36"/>
        <v>40786.400000000001</v>
      </c>
      <c r="S63" s="22">
        <v>0.25</v>
      </c>
      <c r="T63" s="18">
        <f t="shared" si="37"/>
        <v>60138.112000000001</v>
      </c>
      <c r="U63" s="22">
        <f t="shared" si="38"/>
        <v>0.36861620540180101</v>
      </c>
      <c r="V63" s="21">
        <f t="shared" si="39"/>
        <v>8157.28</v>
      </c>
      <c r="W63" s="22">
        <v>0.05</v>
      </c>
      <c r="X63" s="21">
        <v>36</v>
      </c>
      <c r="Y63" s="18">
        <f t="shared" si="25"/>
        <v>28800</v>
      </c>
      <c r="Z63" s="22">
        <f t="shared" si="44"/>
        <v>0.176529431379087</v>
      </c>
      <c r="AA63" s="27">
        <f>1.3*I63*L63</f>
        <v>7072</v>
      </c>
      <c r="AB63" s="22">
        <f t="shared" si="34"/>
        <v>4.3347782594198102E-2</v>
      </c>
      <c r="AC63" s="18">
        <f t="shared" si="45"/>
        <v>6525.8239999999996</v>
      </c>
      <c r="AD63" s="24">
        <v>0.02</v>
      </c>
      <c r="AE63" s="18">
        <v>0</v>
      </c>
      <c r="AF63" s="24">
        <f t="shared" si="46"/>
        <v>0</v>
      </c>
      <c r="AG63" s="18">
        <f t="shared" si="40"/>
        <v>9583.0079999999798</v>
      </c>
      <c r="AH63" s="20">
        <f t="shared" si="41"/>
        <v>5.8738991428515297E-2</v>
      </c>
    </row>
    <row r="64" spans="1:39" s="2" customFormat="1" ht="21" hidden="1" customHeight="1">
      <c r="A64" s="14" t="s">
        <v>32</v>
      </c>
      <c r="B64" s="28" t="s">
        <v>40</v>
      </c>
      <c r="C64" s="26">
        <v>7</v>
      </c>
      <c r="D64" s="16" t="s">
        <v>41</v>
      </c>
      <c r="E64" s="16" t="s">
        <v>42</v>
      </c>
      <c r="F64" s="16" t="s">
        <v>36</v>
      </c>
      <c r="G64" s="16"/>
      <c r="H64" s="16" t="s">
        <v>43</v>
      </c>
      <c r="I64" s="17">
        <v>360</v>
      </c>
      <c r="J64" s="18">
        <v>71.989999999999995</v>
      </c>
      <c r="K64" s="18">
        <f t="shared" si="42"/>
        <v>489.53199999999998</v>
      </c>
      <c r="L64" s="19">
        <v>6.8</v>
      </c>
      <c r="M64" s="18">
        <f t="shared" si="35"/>
        <v>176231.52</v>
      </c>
      <c r="N64" s="20">
        <v>0.04</v>
      </c>
      <c r="O64" s="21">
        <v>17.690000000000001</v>
      </c>
      <c r="P64" s="18">
        <f t="shared" si="33"/>
        <v>76789.108800000002</v>
      </c>
      <c r="Q64" s="22">
        <f t="shared" si="43"/>
        <v>0.435728573412974</v>
      </c>
      <c r="R64" s="18">
        <f t="shared" si="36"/>
        <v>14098.5216</v>
      </c>
      <c r="S64" s="22">
        <v>0.08</v>
      </c>
      <c r="T64" s="18">
        <f t="shared" si="37"/>
        <v>85343.889599999995</v>
      </c>
      <c r="U64" s="22">
        <f t="shared" si="38"/>
        <v>0.48427142658702599</v>
      </c>
      <c r="V64" s="21">
        <f t="shared" si="39"/>
        <v>3524.6304</v>
      </c>
      <c r="W64" s="22">
        <v>0.02</v>
      </c>
      <c r="X64" s="21">
        <v>129.5</v>
      </c>
      <c r="Y64" s="18">
        <f t="shared" si="25"/>
        <v>46620</v>
      </c>
      <c r="Z64" s="22">
        <f t="shared" si="44"/>
        <v>0.26453837542795999</v>
      </c>
      <c r="AA64" s="18">
        <f>10.13*I64*L64</f>
        <v>24798.240000000002</v>
      </c>
      <c r="AB64" s="22">
        <f t="shared" si="34"/>
        <v>0.14071398805389601</v>
      </c>
      <c r="AC64" s="18">
        <f t="shared" si="45"/>
        <v>7049.2608</v>
      </c>
      <c r="AD64" s="24">
        <f t="shared" ref="AD64:AD75" si="47">AC64/M64</f>
        <v>0.04</v>
      </c>
      <c r="AE64" s="18">
        <v>0</v>
      </c>
      <c r="AF64" s="24">
        <f t="shared" si="46"/>
        <v>0</v>
      </c>
      <c r="AG64" s="18">
        <f t="shared" si="40"/>
        <v>3351.7583999999702</v>
      </c>
      <c r="AH64" s="20">
        <f t="shared" si="41"/>
        <v>1.9019063105169699E-2</v>
      </c>
    </row>
    <row r="65" spans="1:39" s="1" customFormat="1" ht="21" hidden="1" customHeight="1">
      <c r="A65" s="14" t="s">
        <v>32</v>
      </c>
      <c r="B65" s="28" t="s">
        <v>40</v>
      </c>
      <c r="C65" s="26">
        <v>7</v>
      </c>
      <c r="D65" s="16" t="s">
        <v>44</v>
      </c>
      <c r="E65" s="16" t="s">
        <v>42</v>
      </c>
      <c r="F65" s="16" t="s">
        <v>36</v>
      </c>
      <c r="G65" s="16"/>
      <c r="H65" s="16" t="s">
        <v>43</v>
      </c>
      <c r="I65" s="17">
        <v>420</v>
      </c>
      <c r="J65" s="18">
        <v>119.99</v>
      </c>
      <c r="K65" s="18">
        <f t="shared" si="42"/>
        <v>815.93200000000002</v>
      </c>
      <c r="L65" s="19">
        <v>6.8</v>
      </c>
      <c r="M65" s="18">
        <f t="shared" si="35"/>
        <v>342691.44</v>
      </c>
      <c r="N65" s="20">
        <v>0.04</v>
      </c>
      <c r="O65" s="21">
        <v>19.59</v>
      </c>
      <c r="P65" s="18">
        <f t="shared" si="33"/>
        <v>121060.4136</v>
      </c>
      <c r="Q65" s="22">
        <f t="shared" si="43"/>
        <v>0.35326360530044199</v>
      </c>
      <c r="R65" s="18">
        <f t="shared" si="36"/>
        <v>27415.315200000001</v>
      </c>
      <c r="S65" s="22">
        <v>0.08</v>
      </c>
      <c r="T65" s="18">
        <f t="shared" si="37"/>
        <v>194215.71119999999</v>
      </c>
      <c r="U65" s="22">
        <f t="shared" si="38"/>
        <v>0.56673639469955805</v>
      </c>
      <c r="V65" s="21">
        <f t="shared" si="39"/>
        <v>6853.8288000000002</v>
      </c>
      <c r="W65" s="22">
        <v>0.02</v>
      </c>
      <c r="X65" s="21">
        <v>163.5</v>
      </c>
      <c r="Y65" s="18">
        <f t="shared" si="25"/>
        <v>68670</v>
      </c>
      <c r="Z65" s="22">
        <f t="shared" si="44"/>
        <v>0.200384345754303</v>
      </c>
      <c r="AA65" s="18">
        <f>M65*AB65</f>
        <v>30842.229599999999</v>
      </c>
      <c r="AB65" s="22">
        <v>0.09</v>
      </c>
      <c r="AC65" s="18">
        <f t="shared" si="45"/>
        <v>13707.6576</v>
      </c>
      <c r="AD65" s="24">
        <f t="shared" si="47"/>
        <v>0.04</v>
      </c>
      <c r="AE65" s="18">
        <v>0</v>
      </c>
      <c r="AF65" s="24">
        <f t="shared" si="46"/>
        <v>0</v>
      </c>
      <c r="AG65" s="18">
        <f t="shared" si="40"/>
        <v>74141.995200000005</v>
      </c>
      <c r="AH65" s="20">
        <f t="shared" si="41"/>
        <v>0.216352048945255</v>
      </c>
      <c r="AI65" s="13"/>
      <c r="AJ65" s="13"/>
      <c r="AK65" s="13"/>
      <c r="AL65" s="13"/>
      <c r="AM65" s="13"/>
    </row>
    <row r="66" spans="1:39" s="1" customFormat="1" ht="21" hidden="1" customHeight="1">
      <c r="A66" s="14" t="s">
        <v>32</v>
      </c>
      <c r="B66" s="28" t="s">
        <v>40</v>
      </c>
      <c r="C66" s="26">
        <v>7</v>
      </c>
      <c r="D66" s="16" t="s">
        <v>45</v>
      </c>
      <c r="E66" s="16" t="s">
        <v>42</v>
      </c>
      <c r="F66" s="16" t="s">
        <v>36</v>
      </c>
      <c r="G66" s="16"/>
      <c r="H66" s="16" t="s">
        <v>43</v>
      </c>
      <c r="I66" s="17">
        <v>120</v>
      </c>
      <c r="J66" s="18">
        <v>149.99</v>
      </c>
      <c r="K66" s="18">
        <f t="shared" si="42"/>
        <v>1019.932</v>
      </c>
      <c r="L66" s="19">
        <v>6.8</v>
      </c>
      <c r="M66" s="18">
        <f t="shared" si="35"/>
        <v>122391.84</v>
      </c>
      <c r="N66" s="20">
        <v>0.04</v>
      </c>
      <c r="O66" s="21">
        <v>23.57</v>
      </c>
      <c r="P66" s="18">
        <f t="shared" si="33"/>
        <v>42487.569600000003</v>
      </c>
      <c r="Q66" s="22">
        <f t="shared" si="43"/>
        <v>0.34714380958730601</v>
      </c>
      <c r="R66" s="18">
        <f t="shared" si="36"/>
        <v>9791.3472000000002</v>
      </c>
      <c r="S66" s="22">
        <v>0.08</v>
      </c>
      <c r="T66" s="18">
        <f t="shared" si="37"/>
        <v>70112.923200000005</v>
      </c>
      <c r="U66" s="22">
        <f t="shared" si="38"/>
        <v>0.57285619041269398</v>
      </c>
      <c r="V66" s="21">
        <f t="shared" si="39"/>
        <v>2447.8368</v>
      </c>
      <c r="W66" s="22">
        <v>0.02</v>
      </c>
      <c r="X66" s="21">
        <v>241</v>
      </c>
      <c r="Y66" s="18">
        <f t="shared" si="25"/>
        <v>28920</v>
      </c>
      <c r="Z66" s="22">
        <f t="shared" si="44"/>
        <v>0.23629026248808699</v>
      </c>
      <c r="AA66" s="18">
        <f>M66*AB66</f>
        <v>9791.3472000000002</v>
      </c>
      <c r="AB66" s="22">
        <v>0.08</v>
      </c>
      <c r="AC66" s="18">
        <f t="shared" si="45"/>
        <v>4895.6736000000001</v>
      </c>
      <c r="AD66" s="24">
        <f t="shared" si="47"/>
        <v>0.04</v>
      </c>
      <c r="AE66" s="18">
        <v>0</v>
      </c>
      <c r="AF66" s="24">
        <f t="shared" si="46"/>
        <v>0</v>
      </c>
      <c r="AG66" s="18">
        <f t="shared" si="40"/>
        <v>24058.065600000002</v>
      </c>
      <c r="AH66" s="20">
        <f t="shared" si="41"/>
        <v>0.196565927924607</v>
      </c>
      <c r="AI66" s="13"/>
      <c r="AJ66" s="13"/>
      <c r="AK66" s="13"/>
      <c r="AL66" s="13"/>
      <c r="AM66" s="13"/>
    </row>
    <row r="67" spans="1:39" s="2" customFormat="1" ht="21" hidden="1" customHeight="1">
      <c r="A67" s="14" t="s">
        <v>32</v>
      </c>
      <c r="B67" s="28" t="s">
        <v>46</v>
      </c>
      <c r="C67" s="26">
        <v>7</v>
      </c>
      <c r="D67" s="16" t="s">
        <v>47</v>
      </c>
      <c r="E67" s="16" t="s">
        <v>42</v>
      </c>
      <c r="F67" s="16" t="s">
        <v>36</v>
      </c>
      <c r="G67" s="16"/>
      <c r="H67" s="16" t="s">
        <v>43</v>
      </c>
      <c r="I67" s="17">
        <v>270</v>
      </c>
      <c r="J67" s="18">
        <v>112.99</v>
      </c>
      <c r="K67" s="18">
        <f t="shared" si="42"/>
        <v>768.33199999999999</v>
      </c>
      <c r="L67" s="19">
        <v>6.8</v>
      </c>
      <c r="M67" s="18">
        <f t="shared" si="35"/>
        <v>207449.64</v>
      </c>
      <c r="N67" s="20">
        <v>0.04</v>
      </c>
      <c r="O67" s="21">
        <v>23.57</v>
      </c>
      <c r="P67" s="18">
        <f t="shared" si="33"/>
        <v>82689.9516</v>
      </c>
      <c r="Q67" s="22">
        <f t="shared" si="43"/>
        <v>0.39860253119745098</v>
      </c>
      <c r="R67" s="18">
        <f t="shared" si="36"/>
        <v>20744.964</v>
      </c>
      <c r="S67" s="22">
        <v>0.1</v>
      </c>
      <c r="T67" s="18">
        <f t="shared" si="37"/>
        <v>104014.72440000001</v>
      </c>
      <c r="U67" s="22">
        <f t="shared" si="38"/>
        <v>0.50139746880254898</v>
      </c>
      <c r="V67" s="21">
        <f t="shared" si="39"/>
        <v>4148.9928</v>
      </c>
      <c r="W67" s="22">
        <v>0.02</v>
      </c>
      <c r="X67" s="21">
        <v>176</v>
      </c>
      <c r="Y67" s="18">
        <f t="shared" si="25"/>
        <v>47520</v>
      </c>
      <c r="Z67" s="22">
        <v>0.28000000000000003</v>
      </c>
      <c r="AA67" s="18">
        <f>M67*AB67</f>
        <v>14521.4748</v>
      </c>
      <c r="AB67" s="22">
        <v>7.0000000000000007E-2</v>
      </c>
      <c r="AC67" s="18">
        <f t="shared" si="45"/>
        <v>8297.9856</v>
      </c>
      <c r="AD67" s="24">
        <f t="shared" si="47"/>
        <v>0.04</v>
      </c>
      <c r="AE67" s="18">
        <v>0</v>
      </c>
      <c r="AF67" s="24">
        <v>0</v>
      </c>
      <c r="AG67" s="18">
        <f t="shared" si="40"/>
        <v>29526.271199999999</v>
      </c>
      <c r="AH67" s="20">
        <f t="shared" si="41"/>
        <v>0.142329826168896</v>
      </c>
    </row>
    <row r="68" spans="1:39" s="2" customFormat="1" ht="21" hidden="1" customHeight="1">
      <c r="A68" s="14" t="s">
        <v>32</v>
      </c>
      <c r="B68" s="28" t="s">
        <v>46</v>
      </c>
      <c r="C68" s="26">
        <v>7</v>
      </c>
      <c r="D68" s="16" t="s">
        <v>48</v>
      </c>
      <c r="E68" s="16" t="s">
        <v>42</v>
      </c>
      <c r="F68" s="16" t="s">
        <v>36</v>
      </c>
      <c r="G68" s="16"/>
      <c r="H68" s="16" t="s">
        <v>43</v>
      </c>
      <c r="I68" s="17">
        <v>180</v>
      </c>
      <c r="J68" s="18">
        <v>159.99</v>
      </c>
      <c r="K68" s="18">
        <f t="shared" si="42"/>
        <v>1087.932</v>
      </c>
      <c r="L68" s="19">
        <v>6.8</v>
      </c>
      <c r="M68" s="18">
        <f t="shared" si="35"/>
        <v>195827.76</v>
      </c>
      <c r="N68" s="20">
        <v>0.04</v>
      </c>
      <c r="O68" s="21">
        <v>29.27</v>
      </c>
      <c r="P68" s="18">
        <f t="shared" si="33"/>
        <v>73033.754400000005</v>
      </c>
      <c r="Q68" s="22">
        <f t="shared" si="43"/>
        <v>0.37294893430839399</v>
      </c>
      <c r="R68" s="18">
        <f t="shared" si="36"/>
        <v>19582.776000000002</v>
      </c>
      <c r="S68" s="22">
        <v>0.1</v>
      </c>
      <c r="T68" s="18">
        <f t="shared" si="37"/>
        <v>103211.22960000001</v>
      </c>
      <c r="U68" s="22">
        <f t="shared" si="38"/>
        <v>0.52705106569160598</v>
      </c>
      <c r="V68" s="21">
        <f t="shared" si="39"/>
        <v>3916.5551999999998</v>
      </c>
      <c r="W68" s="22">
        <v>0.02</v>
      </c>
      <c r="X68" s="21">
        <v>280.3</v>
      </c>
      <c r="Y68" s="18">
        <f t="shared" si="25"/>
        <v>50454</v>
      </c>
      <c r="Z68" s="22">
        <f t="shared" ref="Z68:Z75" si="48">Y68/M68</f>
        <v>0.25764477926929302</v>
      </c>
      <c r="AA68" s="18">
        <f>M68*AB68</f>
        <v>13707.9432</v>
      </c>
      <c r="AB68" s="22">
        <v>7.0000000000000007E-2</v>
      </c>
      <c r="AC68" s="18">
        <f t="shared" si="45"/>
        <v>7833.1103999999996</v>
      </c>
      <c r="AD68" s="24">
        <f t="shared" si="47"/>
        <v>0.04</v>
      </c>
      <c r="AE68" s="18">
        <v>0</v>
      </c>
      <c r="AF68" s="24">
        <v>0</v>
      </c>
      <c r="AG68" s="18">
        <f t="shared" si="40"/>
        <v>27299.620800000001</v>
      </c>
      <c r="AH68" s="20">
        <f t="shared" si="41"/>
        <v>0.13940628642231301</v>
      </c>
    </row>
    <row r="69" spans="1:39" s="2" customFormat="1" ht="21" hidden="1" customHeight="1">
      <c r="A69" s="14" t="s">
        <v>32</v>
      </c>
      <c r="B69" s="28" t="s">
        <v>46</v>
      </c>
      <c r="C69" s="26">
        <v>7</v>
      </c>
      <c r="D69" s="16" t="s">
        <v>49</v>
      </c>
      <c r="E69" s="16" t="s">
        <v>42</v>
      </c>
      <c r="F69" s="16" t="s">
        <v>36</v>
      </c>
      <c r="G69" s="16"/>
      <c r="H69" s="16" t="s">
        <v>43</v>
      </c>
      <c r="I69" s="17">
        <v>150</v>
      </c>
      <c r="J69" s="18">
        <v>69.989999999999995</v>
      </c>
      <c r="K69" s="18">
        <f t="shared" si="42"/>
        <v>475.93200000000002</v>
      </c>
      <c r="L69" s="19">
        <v>6.8</v>
      </c>
      <c r="M69" s="18">
        <f t="shared" si="35"/>
        <v>71389.8</v>
      </c>
      <c r="N69" s="20">
        <v>0.02</v>
      </c>
      <c r="O69" s="21">
        <v>18.25</v>
      </c>
      <c r="P69" s="18">
        <f t="shared" si="33"/>
        <v>30751.266</v>
      </c>
      <c r="Q69" s="22">
        <f t="shared" si="43"/>
        <v>0.43075153593370502</v>
      </c>
      <c r="R69" s="18">
        <f t="shared" si="36"/>
        <v>8566.7759999999998</v>
      </c>
      <c r="S69" s="22">
        <v>0.12</v>
      </c>
      <c r="T69" s="18">
        <f t="shared" si="37"/>
        <v>32071.758000000002</v>
      </c>
      <c r="U69" s="22">
        <f t="shared" si="38"/>
        <v>0.44924846406629498</v>
      </c>
      <c r="V69" s="21">
        <f t="shared" si="39"/>
        <v>1427.796</v>
      </c>
      <c r="W69" s="22">
        <v>0.02</v>
      </c>
      <c r="X69" s="21">
        <v>78</v>
      </c>
      <c r="Y69" s="18">
        <f t="shared" si="25"/>
        <v>11700</v>
      </c>
      <c r="Z69" s="22">
        <f t="shared" si="48"/>
        <v>0.163888958926906</v>
      </c>
      <c r="AA69" s="18">
        <f>6.11*I69*L69</f>
        <v>6232.2</v>
      </c>
      <c r="AB69" s="22">
        <v>7.0000000000000007E-2</v>
      </c>
      <c r="AC69" s="18">
        <f t="shared" si="45"/>
        <v>2855.5920000000001</v>
      </c>
      <c r="AD69" s="24">
        <f t="shared" si="47"/>
        <v>0.04</v>
      </c>
      <c r="AE69" s="18">
        <v>0</v>
      </c>
      <c r="AF69" s="24">
        <f>AE69/M69</f>
        <v>0</v>
      </c>
      <c r="AG69" s="18">
        <f t="shared" si="40"/>
        <v>9856.1699999999892</v>
      </c>
      <c r="AH69" s="20">
        <f t="shared" si="41"/>
        <v>0.138061319684325</v>
      </c>
    </row>
    <row r="70" spans="1:39" s="2" customFormat="1" ht="21" hidden="1" customHeight="1">
      <c r="A70" s="14" t="s">
        <v>32</v>
      </c>
      <c r="B70" s="28" t="s">
        <v>46</v>
      </c>
      <c r="C70" s="26">
        <v>7</v>
      </c>
      <c r="D70" s="16" t="s">
        <v>50</v>
      </c>
      <c r="E70" s="16" t="s">
        <v>42</v>
      </c>
      <c r="F70" s="16" t="s">
        <v>36</v>
      </c>
      <c r="G70" s="16"/>
      <c r="H70" s="16" t="s">
        <v>37</v>
      </c>
      <c r="I70" s="17">
        <v>60</v>
      </c>
      <c r="J70" s="18">
        <v>69.989999999999995</v>
      </c>
      <c r="K70" s="18">
        <f t="shared" si="42"/>
        <v>475.93200000000002</v>
      </c>
      <c r="L70" s="19">
        <v>6.8</v>
      </c>
      <c r="M70" s="18">
        <f t="shared" si="35"/>
        <v>28555.919999999998</v>
      </c>
      <c r="N70" s="20">
        <v>0.06</v>
      </c>
      <c r="O70" s="21">
        <v>17.489999999999998</v>
      </c>
      <c r="P70" s="18">
        <f t="shared" si="33"/>
        <v>13132.663200000001</v>
      </c>
      <c r="Q70" s="22">
        <f t="shared" si="43"/>
        <v>0.45989284183454798</v>
      </c>
      <c r="R70" s="18">
        <f t="shared" si="36"/>
        <v>2284.4735999999998</v>
      </c>
      <c r="S70" s="22">
        <v>0.08</v>
      </c>
      <c r="T70" s="18">
        <f t="shared" si="37"/>
        <v>13138.7832</v>
      </c>
      <c r="U70" s="22">
        <f t="shared" si="38"/>
        <v>0.460107158165452</v>
      </c>
      <c r="V70" s="21">
        <f t="shared" si="39"/>
        <v>571.11839999999995</v>
      </c>
      <c r="W70" s="22">
        <v>0.02</v>
      </c>
      <c r="X70" s="21">
        <v>231</v>
      </c>
      <c r="Y70" s="18">
        <f t="shared" si="25"/>
        <v>13860</v>
      </c>
      <c r="Z70" s="22">
        <f t="shared" si="48"/>
        <v>0.48536345528352798</v>
      </c>
      <c r="AA70" s="18">
        <f>17.22*I70*L70</f>
        <v>7025.76</v>
      </c>
      <c r="AB70" s="22">
        <v>7.0000000000000007E-2</v>
      </c>
      <c r="AC70" s="18">
        <f t="shared" si="45"/>
        <v>1142.2367999999999</v>
      </c>
      <c r="AD70" s="24">
        <f t="shared" si="47"/>
        <v>0.04</v>
      </c>
      <c r="AE70" s="18">
        <v>0</v>
      </c>
      <c r="AF70" s="24">
        <v>0</v>
      </c>
      <c r="AG70" s="18">
        <f t="shared" si="40"/>
        <v>-9460.3320000000003</v>
      </c>
      <c r="AH70" s="20">
        <f t="shared" si="41"/>
        <v>-0.331291444996344</v>
      </c>
    </row>
    <row r="71" spans="1:39" s="1" customFormat="1" ht="21" hidden="1" customHeight="1">
      <c r="A71" s="14" t="s">
        <v>32</v>
      </c>
      <c r="B71" s="28" t="s">
        <v>46</v>
      </c>
      <c r="C71" s="26">
        <v>7</v>
      </c>
      <c r="D71" s="16" t="s">
        <v>51</v>
      </c>
      <c r="E71" s="16" t="s">
        <v>42</v>
      </c>
      <c r="F71" s="16" t="s">
        <v>36</v>
      </c>
      <c r="G71" s="16"/>
      <c r="H71" s="16" t="s">
        <v>37</v>
      </c>
      <c r="I71" s="17">
        <v>150</v>
      </c>
      <c r="J71" s="18">
        <v>89.99</v>
      </c>
      <c r="K71" s="18">
        <f t="shared" si="42"/>
        <v>611.93200000000002</v>
      </c>
      <c r="L71" s="19">
        <v>6.8</v>
      </c>
      <c r="M71" s="18">
        <f t="shared" si="35"/>
        <v>91789.8</v>
      </c>
      <c r="N71" s="20">
        <v>0.06</v>
      </c>
      <c r="O71" s="21">
        <v>20.53</v>
      </c>
      <c r="P71" s="18">
        <f t="shared" si="33"/>
        <v>40216.457999999999</v>
      </c>
      <c r="Q71" s="22">
        <f t="shared" si="43"/>
        <v>0.43813645960662301</v>
      </c>
      <c r="R71" s="18">
        <f t="shared" si="36"/>
        <v>9178.98</v>
      </c>
      <c r="S71" s="22">
        <v>0.1</v>
      </c>
      <c r="T71" s="18">
        <f t="shared" si="37"/>
        <v>42394.362000000001</v>
      </c>
      <c r="U71" s="22">
        <f t="shared" si="38"/>
        <v>0.46186354039337701</v>
      </c>
      <c r="V71" s="21">
        <f t="shared" si="39"/>
        <v>1835.796</v>
      </c>
      <c r="W71" s="22">
        <v>0.02</v>
      </c>
      <c r="X71" s="21">
        <v>279</v>
      </c>
      <c r="Y71" s="18">
        <f t="shared" si="25"/>
        <v>41850</v>
      </c>
      <c r="Z71" s="22">
        <f t="shared" si="48"/>
        <v>0.45593301216475002</v>
      </c>
      <c r="AA71" s="18">
        <f>M71*AB71</f>
        <v>7343.1840000000002</v>
      </c>
      <c r="AB71" s="22">
        <v>0.08</v>
      </c>
      <c r="AC71" s="18">
        <f t="shared" si="45"/>
        <v>3671.5920000000001</v>
      </c>
      <c r="AD71" s="24">
        <f t="shared" si="47"/>
        <v>0.04</v>
      </c>
      <c r="AE71" s="18">
        <v>0</v>
      </c>
      <c r="AF71" s="24">
        <v>0</v>
      </c>
      <c r="AG71" s="18">
        <f t="shared" si="40"/>
        <v>-12306.21</v>
      </c>
      <c r="AH71" s="20">
        <f t="shared" si="41"/>
        <v>-0.13406947177137299</v>
      </c>
      <c r="AI71" s="13"/>
      <c r="AJ71" s="13"/>
      <c r="AK71" s="13"/>
      <c r="AL71" s="13"/>
      <c r="AM71" s="13"/>
    </row>
    <row r="72" spans="1:39" s="1" customFormat="1" ht="21" hidden="1" customHeight="1">
      <c r="A72" s="14" t="s">
        <v>32</v>
      </c>
      <c r="B72" s="28" t="s">
        <v>46</v>
      </c>
      <c r="C72" s="26">
        <v>7</v>
      </c>
      <c r="D72" s="16" t="s">
        <v>52</v>
      </c>
      <c r="E72" s="16" t="s">
        <v>42</v>
      </c>
      <c r="F72" s="16" t="s">
        <v>36</v>
      </c>
      <c r="G72" s="16"/>
      <c r="H72" s="16" t="s">
        <v>37</v>
      </c>
      <c r="I72" s="17">
        <v>60</v>
      </c>
      <c r="J72" s="18">
        <v>109.99</v>
      </c>
      <c r="K72" s="18">
        <f t="shared" si="42"/>
        <v>747.93200000000002</v>
      </c>
      <c r="L72" s="19">
        <v>6.8</v>
      </c>
      <c r="M72" s="18">
        <f t="shared" si="35"/>
        <v>44875.92</v>
      </c>
      <c r="N72" s="20">
        <v>0.06</v>
      </c>
      <c r="O72" s="21">
        <v>20.91</v>
      </c>
      <c r="P72" s="18">
        <f t="shared" si="33"/>
        <v>17955.2232</v>
      </c>
      <c r="Q72" s="22">
        <f t="shared" si="43"/>
        <v>0.40010819165378703</v>
      </c>
      <c r="R72" s="18">
        <f t="shared" si="36"/>
        <v>4487.5919999999996</v>
      </c>
      <c r="S72" s="22">
        <v>0.1</v>
      </c>
      <c r="T72" s="18">
        <f t="shared" si="37"/>
        <v>22433.104800000001</v>
      </c>
      <c r="U72" s="22">
        <f t="shared" si="38"/>
        <v>0.499891808346213</v>
      </c>
      <c r="V72" s="21">
        <f t="shared" si="39"/>
        <v>897.51840000000004</v>
      </c>
      <c r="W72" s="22">
        <v>0.02</v>
      </c>
      <c r="X72" s="21">
        <v>323</v>
      </c>
      <c r="Y72" s="18">
        <f t="shared" si="25"/>
        <v>19380</v>
      </c>
      <c r="Z72" s="22">
        <f t="shared" si="48"/>
        <v>0.43185744158559902</v>
      </c>
      <c r="AA72" s="18">
        <f>M72*AB72</f>
        <v>3590.0736000000002</v>
      </c>
      <c r="AB72" s="22">
        <v>0.08</v>
      </c>
      <c r="AC72" s="18">
        <f t="shared" si="45"/>
        <v>1795.0368000000001</v>
      </c>
      <c r="AD72" s="24">
        <f t="shared" si="47"/>
        <v>0.04</v>
      </c>
      <c r="AE72" s="18">
        <v>0</v>
      </c>
      <c r="AF72" s="24">
        <v>0</v>
      </c>
      <c r="AG72" s="18">
        <f t="shared" si="40"/>
        <v>-3229.5240000000099</v>
      </c>
      <c r="AH72" s="20">
        <f t="shared" si="41"/>
        <v>-7.1965633239385499E-2</v>
      </c>
    </row>
    <row r="73" spans="1:39" s="2" customFormat="1" ht="21" hidden="1" customHeight="1">
      <c r="A73" s="14" t="s">
        <v>32</v>
      </c>
      <c r="B73" s="28" t="s">
        <v>46</v>
      </c>
      <c r="C73" s="26">
        <v>7</v>
      </c>
      <c r="D73" s="16" t="s">
        <v>53</v>
      </c>
      <c r="E73" s="16" t="s">
        <v>42</v>
      </c>
      <c r="F73" s="16" t="s">
        <v>36</v>
      </c>
      <c r="G73" s="16"/>
      <c r="H73" s="16" t="s">
        <v>37</v>
      </c>
      <c r="I73" s="17">
        <v>60</v>
      </c>
      <c r="J73" s="18">
        <v>89.99</v>
      </c>
      <c r="K73" s="18">
        <f t="shared" si="42"/>
        <v>611.93200000000002</v>
      </c>
      <c r="L73" s="19">
        <v>6.8</v>
      </c>
      <c r="M73" s="18">
        <f t="shared" si="35"/>
        <v>36715.919999999998</v>
      </c>
      <c r="N73" s="20">
        <v>0.03</v>
      </c>
      <c r="O73" s="21">
        <v>18.63</v>
      </c>
      <c r="P73" s="18">
        <f t="shared" si="33"/>
        <v>14209.9056</v>
      </c>
      <c r="Q73" s="22">
        <f t="shared" si="43"/>
        <v>0.38702300255583999</v>
      </c>
      <c r="R73" s="18">
        <f t="shared" si="36"/>
        <v>5874.5472</v>
      </c>
      <c r="S73" s="22">
        <v>0.16</v>
      </c>
      <c r="T73" s="18">
        <f t="shared" si="37"/>
        <v>16631.467199999999</v>
      </c>
      <c r="U73" s="22">
        <f t="shared" si="38"/>
        <v>0.45297699744415998</v>
      </c>
      <c r="V73" s="21">
        <f t="shared" si="39"/>
        <v>734.3184</v>
      </c>
      <c r="W73" s="22">
        <v>0.02</v>
      </c>
      <c r="X73" s="21">
        <v>143</v>
      </c>
      <c r="Y73" s="18">
        <f t="shared" si="25"/>
        <v>8580</v>
      </c>
      <c r="Z73" s="22">
        <f t="shared" si="48"/>
        <v>0.23368609584071401</v>
      </c>
      <c r="AA73" s="18">
        <f>10.13*I73*L73</f>
        <v>4133.04</v>
      </c>
      <c r="AB73" s="22">
        <f>AA73/M73</f>
        <v>0.11256806311812401</v>
      </c>
      <c r="AC73" s="18">
        <f t="shared" si="45"/>
        <v>1468.6368</v>
      </c>
      <c r="AD73" s="24">
        <f t="shared" si="47"/>
        <v>0.04</v>
      </c>
      <c r="AE73" s="18">
        <v>0</v>
      </c>
      <c r="AF73" s="24">
        <f>AE73/M73</f>
        <v>0</v>
      </c>
      <c r="AG73" s="18">
        <f t="shared" si="40"/>
        <v>1715.47199999999</v>
      </c>
      <c r="AH73" s="20">
        <f t="shared" si="41"/>
        <v>4.6722838485321702E-2</v>
      </c>
    </row>
    <row r="74" spans="1:39" s="2" customFormat="1" ht="21" hidden="1" customHeight="1">
      <c r="A74" s="14" t="s">
        <v>32</v>
      </c>
      <c r="B74" s="28" t="s">
        <v>46</v>
      </c>
      <c r="C74" s="26">
        <v>7</v>
      </c>
      <c r="D74" s="16" t="s">
        <v>54</v>
      </c>
      <c r="E74" s="16" t="s">
        <v>42</v>
      </c>
      <c r="F74" s="16" t="s">
        <v>36</v>
      </c>
      <c r="G74" s="16"/>
      <c r="H74" s="16" t="s">
        <v>37</v>
      </c>
      <c r="I74" s="17">
        <v>60</v>
      </c>
      <c r="J74" s="18">
        <v>109.99</v>
      </c>
      <c r="K74" s="18">
        <f t="shared" si="42"/>
        <v>747.93200000000002</v>
      </c>
      <c r="L74" s="19">
        <v>6.8</v>
      </c>
      <c r="M74" s="18">
        <f t="shared" si="35"/>
        <v>44875.92</v>
      </c>
      <c r="N74" s="20">
        <v>0.03</v>
      </c>
      <c r="O74" s="21">
        <v>20.149999999999999</v>
      </c>
      <c r="P74" s="18">
        <f t="shared" si="33"/>
        <v>16298.865599999999</v>
      </c>
      <c r="Q74" s="22">
        <f t="shared" si="43"/>
        <v>0.36319847258841698</v>
      </c>
      <c r="R74" s="18">
        <f t="shared" si="36"/>
        <v>7180.1472000000003</v>
      </c>
      <c r="S74" s="22">
        <v>0.16</v>
      </c>
      <c r="T74" s="18">
        <f t="shared" si="37"/>
        <v>21396.907200000001</v>
      </c>
      <c r="U74" s="22">
        <f t="shared" si="38"/>
        <v>0.47680152741158299</v>
      </c>
      <c r="V74" s="21">
        <f t="shared" si="39"/>
        <v>897.51840000000004</v>
      </c>
      <c r="W74" s="22">
        <v>0.02</v>
      </c>
      <c r="X74" s="21">
        <v>148</v>
      </c>
      <c r="Y74" s="18">
        <f t="shared" si="25"/>
        <v>8880</v>
      </c>
      <c r="Z74" s="22">
        <f t="shared" si="48"/>
        <v>0.19787895156244201</v>
      </c>
      <c r="AA74" s="18">
        <f>1.11*I74*L74</f>
        <v>452.88</v>
      </c>
      <c r="AB74" s="22">
        <f>AA74/M74</f>
        <v>1.0091826529684499E-2</v>
      </c>
      <c r="AC74" s="18">
        <f t="shared" si="45"/>
        <v>1795.0368000000001</v>
      </c>
      <c r="AD74" s="24">
        <f t="shared" si="47"/>
        <v>0.04</v>
      </c>
      <c r="AE74" s="18">
        <v>0</v>
      </c>
      <c r="AF74" s="24">
        <f>AE74/M74</f>
        <v>0</v>
      </c>
      <c r="AG74" s="18">
        <f t="shared" si="40"/>
        <v>9371.4719999999907</v>
      </c>
      <c r="AH74" s="20">
        <f t="shared" si="41"/>
        <v>0.208830749319457</v>
      </c>
    </row>
    <row r="75" spans="1:39" s="1" customFormat="1" ht="21" hidden="1" customHeight="1">
      <c r="A75" s="14" t="s">
        <v>32</v>
      </c>
      <c r="B75" s="28" t="s">
        <v>46</v>
      </c>
      <c r="C75" s="26">
        <v>7</v>
      </c>
      <c r="D75" s="16" t="s">
        <v>55</v>
      </c>
      <c r="E75" s="16" t="s">
        <v>42</v>
      </c>
      <c r="F75" s="16" t="s">
        <v>36</v>
      </c>
      <c r="G75" s="16"/>
      <c r="H75" s="16" t="s">
        <v>37</v>
      </c>
      <c r="I75" s="17">
        <v>60</v>
      </c>
      <c r="J75" s="18">
        <v>129.99</v>
      </c>
      <c r="K75" s="18">
        <f t="shared" si="42"/>
        <v>883.93200000000002</v>
      </c>
      <c r="L75" s="19">
        <v>6.8</v>
      </c>
      <c r="M75" s="18">
        <f t="shared" si="35"/>
        <v>53035.92</v>
      </c>
      <c r="N75" s="20">
        <v>0.03</v>
      </c>
      <c r="O75" s="21">
        <v>20.53</v>
      </c>
      <c r="P75" s="18">
        <f t="shared" si="33"/>
        <v>17922.705600000001</v>
      </c>
      <c r="Q75" s="22">
        <f t="shared" si="43"/>
        <v>0.33793522578659901</v>
      </c>
      <c r="R75" s="18">
        <f t="shared" si="36"/>
        <v>8485.7471999999998</v>
      </c>
      <c r="S75" s="22">
        <v>0.16</v>
      </c>
      <c r="T75" s="18">
        <f t="shared" si="37"/>
        <v>26627.467199999999</v>
      </c>
      <c r="U75" s="22">
        <f t="shared" si="38"/>
        <v>0.50206477421340101</v>
      </c>
      <c r="V75" s="21">
        <f t="shared" si="39"/>
        <v>1060.7184</v>
      </c>
      <c r="W75" s="22">
        <v>0.02</v>
      </c>
      <c r="X75" s="21">
        <v>165</v>
      </c>
      <c r="Y75" s="18">
        <f t="shared" si="25"/>
        <v>9900</v>
      </c>
      <c r="Z75" s="22">
        <f t="shared" si="48"/>
        <v>0.18666594262907099</v>
      </c>
      <c r="AA75" s="18">
        <f>M75*AB75</f>
        <v>4242.8735999999999</v>
      </c>
      <c r="AB75" s="22">
        <v>0.08</v>
      </c>
      <c r="AC75" s="18">
        <f t="shared" si="45"/>
        <v>2121.4367999999999</v>
      </c>
      <c r="AD75" s="24">
        <f t="shared" si="47"/>
        <v>0.04</v>
      </c>
      <c r="AE75" s="18">
        <v>0</v>
      </c>
      <c r="AF75" s="24">
        <f>AE75/M75</f>
        <v>0</v>
      </c>
      <c r="AG75" s="18">
        <f t="shared" si="40"/>
        <v>9302.4383999999991</v>
      </c>
      <c r="AH75" s="20">
        <f t="shared" si="41"/>
        <v>0.17539883158433001</v>
      </c>
      <c r="AI75" s="13"/>
      <c r="AJ75" s="13"/>
      <c r="AK75" s="13"/>
      <c r="AL75" s="13"/>
      <c r="AM75" s="13"/>
    </row>
    <row r="76" spans="1:39" s="1" customFormat="1" ht="21" customHeight="1">
      <c r="A76" s="83" t="s">
        <v>32</v>
      </c>
      <c r="B76" s="84" t="s">
        <v>77</v>
      </c>
      <c r="C76" s="83">
        <v>7</v>
      </c>
      <c r="D76" s="83" t="s">
        <v>78</v>
      </c>
      <c r="E76" s="83" t="s">
        <v>75</v>
      </c>
      <c r="F76" s="83" t="s">
        <v>79</v>
      </c>
      <c r="G76" s="83"/>
      <c r="H76" s="83" t="s">
        <v>37</v>
      </c>
      <c r="I76" s="85">
        <v>900</v>
      </c>
      <c r="J76" s="86">
        <v>69.989999999999995</v>
      </c>
      <c r="K76" s="86">
        <f>J76*L76</f>
        <v>475.93200000000002</v>
      </c>
      <c r="L76" s="87">
        <v>6.8</v>
      </c>
      <c r="M76" s="86">
        <f t="shared" ref="M76:M105" si="49">I76*K76</f>
        <v>428338.8</v>
      </c>
      <c r="N76" s="88">
        <v>0.14000000000000001</v>
      </c>
      <c r="O76" s="89">
        <v>8.6</v>
      </c>
      <c r="P76" s="86">
        <f t="shared" ref="P76:P89" si="50">(J76*0.15*I76+O76*I76)*L76+M76*N76</f>
        <v>176850.25200000001</v>
      </c>
      <c r="Q76" s="90">
        <f>P76/M76</f>
        <v>0.41287469638519803</v>
      </c>
      <c r="R76" s="86">
        <f t="shared" ref="R76:R105" si="51">M76*S76</f>
        <v>77100.983999999997</v>
      </c>
      <c r="S76" s="90">
        <v>0.18</v>
      </c>
      <c r="T76" s="86">
        <f t="shared" ref="T76:T105" si="52">M76-P76-R76</f>
        <v>174387.56400000001</v>
      </c>
      <c r="U76" s="90">
        <f t="shared" ref="U76:U105" si="53">T76/M76</f>
        <v>0.40712530361480198</v>
      </c>
      <c r="V76" s="86">
        <f t="shared" ref="V76:V105" si="54">M76*W76</f>
        <v>21416.94</v>
      </c>
      <c r="W76" s="90">
        <v>0.05</v>
      </c>
      <c r="X76" s="89">
        <v>145</v>
      </c>
      <c r="Y76" s="86">
        <f t="shared" ref="Y76:Y89" si="55">X76*I76</f>
        <v>130500</v>
      </c>
      <c r="Z76" s="90">
        <f>Y76/M76</f>
        <v>0.304665372364119</v>
      </c>
      <c r="AA76" s="86">
        <f>M76*AB76</f>
        <v>17133.552</v>
      </c>
      <c r="AB76" s="90">
        <v>0.04</v>
      </c>
      <c r="AC76" s="86">
        <f>M76*0.02</f>
        <v>8566.7759999999998</v>
      </c>
      <c r="AD76" s="91">
        <v>0.02</v>
      </c>
      <c r="AE76" s="86">
        <v>0</v>
      </c>
      <c r="AF76" s="91">
        <v>0</v>
      </c>
      <c r="AG76" s="86">
        <f t="shared" ref="AG76:AG105" si="56">T76-V76-Y76-AA76-AC76-AE76</f>
        <v>-3229.7039999999902</v>
      </c>
      <c r="AH76" s="88">
        <f t="shared" ref="AH76:AH105" si="57">AG76/M76</f>
        <v>-7.5400687493171002E-3</v>
      </c>
    </row>
    <row r="77" spans="1:39" s="1" customFormat="1" ht="21" customHeight="1">
      <c r="A77" s="83" t="s">
        <v>32</v>
      </c>
      <c r="B77" s="84" t="s">
        <v>77</v>
      </c>
      <c r="C77" s="83">
        <v>7</v>
      </c>
      <c r="D77" s="83" t="s">
        <v>80</v>
      </c>
      <c r="E77" s="83" t="s">
        <v>75</v>
      </c>
      <c r="F77" s="83" t="s">
        <v>79</v>
      </c>
      <c r="G77" s="83"/>
      <c r="H77" s="83" t="s">
        <v>37</v>
      </c>
      <c r="I77" s="85">
        <v>600</v>
      </c>
      <c r="J77" s="86">
        <v>69.989999999999995</v>
      </c>
      <c r="K77" s="86">
        <f>J77*L77</f>
        <v>475.93200000000002</v>
      </c>
      <c r="L77" s="87">
        <v>6.8</v>
      </c>
      <c r="M77" s="86">
        <f t="shared" si="49"/>
        <v>285559.2</v>
      </c>
      <c r="N77" s="88">
        <v>0.14000000000000001</v>
      </c>
      <c r="O77" s="89">
        <v>8.6</v>
      </c>
      <c r="P77" s="86">
        <f t="shared" si="50"/>
        <v>117900.16800000001</v>
      </c>
      <c r="Q77" s="90">
        <f>P77/M77</f>
        <v>0.41287469638519803</v>
      </c>
      <c r="R77" s="86">
        <f t="shared" si="51"/>
        <v>51400.656000000003</v>
      </c>
      <c r="S77" s="90">
        <v>0.18</v>
      </c>
      <c r="T77" s="86">
        <f t="shared" si="52"/>
        <v>116258.376</v>
      </c>
      <c r="U77" s="90">
        <f t="shared" si="53"/>
        <v>0.40712530361480198</v>
      </c>
      <c r="V77" s="86">
        <f t="shared" si="54"/>
        <v>14277.96</v>
      </c>
      <c r="W77" s="90">
        <v>0.05</v>
      </c>
      <c r="X77" s="89">
        <v>145</v>
      </c>
      <c r="Y77" s="86">
        <f t="shared" si="55"/>
        <v>87000</v>
      </c>
      <c r="Z77" s="90">
        <f>Y77/M77</f>
        <v>0.304665372364119</v>
      </c>
      <c r="AA77" s="86">
        <f>M77*AB77</f>
        <v>11422.368</v>
      </c>
      <c r="AB77" s="90">
        <v>0.04</v>
      </c>
      <c r="AC77" s="86">
        <f>M77*0.02</f>
        <v>5711.1840000000002</v>
      </c>
      <c r="AD77" s="91">
        <v>0.02</v>
      </c>
      <c r="AE77" s="86">
        <v>0</v>
      </c>
      <c r="AF77" s="91">
        <v>0</v>
      </c>
      <c r="AG77" s="86">
        <f t="shared" si="56"/>
        <v>-2153.13600000003</v>
      </c>
      <c r="AH77" s="88">
        <f t="shared" si="57"/>
        <v>-7.5400687493172303E-3</v>
      </c>
    </row>
    <row r="78" spans="1:39" s="1" customFormat="1" ht="21" customHeight="1">
      <c r="A78" s="83" t="s">
        <v>32</v>
      </c>
      <c r="B78" s="84"/>
      <c r="C78" s="83">
        <v>7</v>
      </c>
      <c r="D78" s="83" t="s">
        <v>82</v>
      </c>
      <c r="E78" s="83" t="s">
        <v>75</v>
      </c>
      <c r="F78" s="83"/>
      <c r="G78" s="83"/>
      <c r="H78" s="83"/>
      <c r="I78" s="85">
        <v>600</v>
      </c>
      <c r="J78" s="86">
        <v>119.99</v>
      </c>
      <c r="K78" s="86">
        <f>J78*L78</f>
        <v>815.93200000000002</v>
      </c>
      <c r="L78" s="87">
        <v>6.8</v>
      </c>
      <c r="M78" s="86">
        <f t="shared" si="49"/>
        <v>489559.2</v>
      </c>
      <c r="N78" s="88">
        <v>0.14000000000000001</v>
      </c>
      <c r="O78" s="89">
        <v>16.72</v>
      </c>
      <c r="P78" s="86">
        <f t="shared" si="50"/>
        <v>210189.76800000001</v>
      </c>
      <c r="Q78" s="90">
        <f>P78/M78</f>
        <v>0.42934494541211798</v>
      </c>
      <c r="R78" s="86">
        <f t="shared" si="51"/>
        <v>73433.88</v>
      </c>
      <c r="S78" s="90">
        <v>0.15</v>
      </c>
      <c r="T78" s="86">
        <f t="shared" si="52"/>
        <v>205935.552</v>
      </c>
      <c r="U78" s="90">
        <f t="shared" si="53"/>
        <v>0.42065505458788199</v>
      </c>
      <c r="V78" s="86">
        <f t="shared" si="54"/>
        <v>14686.776</v>
      </c>
      <c r="W78" s="90">
        <v>0.03</v>
      </c>
      <c r="X78" s="89">
        <v>200</v>
      </c>
      <c r="Y78" s="86">
        <f t="shared" si="55"/>
        <v>120000</v>
      </c>
      <c r="Z78" s="90"/>
      <c r="AA78" s="86"/>
      <c r="AB78" s="90"/>
      <c r="AC78" s="86"/>
      <c r="AD78" s="91"/>
      <c r="AE78" s="86"/>
      <c r="AF78" s="91"/>
      <c r="AG78" s="86">
        <f t="shared" si="56"/>
        <v>71248.775999999998</v>
      </c>
      <c r="AH78" s="88">
        <f t="shared" si="57"/>
        <v>0.145536588833383</v>
      </c>
    </row>
    <row r="79" spans="1:39" s="2" customFormat="1" ht="21" customHeight="1">
      <c r="A79" s="83" t="s">
        <v>32</v>
      </c>
      <c r="B79" s="84" t="s">
        <v>81</v>
      </c>
      <c r="C79" s="83">
        <v>7</v>
      </c>
      <c r="D79" s="83" t="s">
        <v>83</v>
      </c>
      <c r="E79" s="83" t="s">
        <v>75</v>
      </c>
      <c r="F79" s="83" t="s">
        <v>79</v>
      </c>
      <c r="G79" s="83"/>
      <c r="H79" s="83" t="s">
        <v>43</v>
      </c>
      <c r="I79" s="85">
        <v>3600</v>
      </c>
      <c r="J79" s="86">
        <v>129.99</v>
      </c>
      <c r="K79" s="86">
        <f>J79*L79</f>
        <v>883.93200000000002</v>
      </c>
      <c r="L79" s="87">
        <v>6.8</v>
      </c>
      <c r="M79" s="86">
        <f t="shared" si="49"/>
        <v>3182155.2</v>
      </c>
      <c r="N79" s="88">
        <v>0.14000000000000001</v>
      </c>
      <c r="O79" s="89">
        <v>16.72</v>
      </c>
      <c r="P79" s="86">
        <f t="shared" si="50"/>
        <v>1332130.608</v>
      </c>
      <c r="Q79" s="90">
        <f>P79/M79</f>
        <v>0.41862527886760498</v>
      </c>
      <c r="R79" s="86">
        <f t="shared" si="51"/>
        <v>477323.28</v>
      </c>
      <c r="S79" s="90">
        <v>0.15</v>
      </c>
      <c r="T79" s="86">
        <f t="shared" si="52"/>
        <v>1372701.3119999999</v>
      </c>
      <c r="U79" s="90">
        <f t="shared" si="53"/>
        <v>0.431374721132395</v>
      </c>
      <c r="V79" s="86">
        <f t="shared" si="54"/>
        <v>95464.656000000003</v>
      </c>
      <c r="W79" s="90">
        <v>0.03</v>
      </c>
      <c r="X79" s="89">
        <v>200</v>
      </c>
      <c r="Y79" s="86">
        <f t="shared" si="55"/>
        <v>720000</v>
      </c>
      <c r="Z79" s="90">
        <f>Y79/M79</f>
        <v>0.226261748641298</v>
      </c>
      <c r="AA79" s="86">
        <f>6.2*I79*L79</f>
        <v>151776</v>
      </c>
      <c r="AB79" s="90">
        <f>AA79/M79</f>
        <v>4.7695976613585697E-2</v>
      </c>
      <c r="AC79" s="86">
        <f>M79*0.03</f>
        <v>95464.656000000003</v>
      </c>
      <c r="AD79" s="91">
        <v>0.03</v>
      </c>
      <c r="AE79" s="86">
        <v>0</v>
      </c>
      <c r="AF79" s="91">
        <v>0</v>
      </c>
      <c r="AG79" s="86">
        <f t="shared" si="56"/>
        <v>309996</v>
      </c>
      <c r="AH79" s="88">
        <f t="shared" si="57"/>
        <v>9.7416995877511001E-2</v>
      </c>
    </row>
    <row r="80" spans="1:39" s="2" customFormat="1" ht="21" customHeight="1">
      <c r="A80" s="83" t="s">
        <v>32</v>
      </c>
      <c r="B80" s="84" t="s">
        <v>81</v>
      </c>
      <c r="C80" s="83">
        <v>7</v>
      </c>
      <c r="D80" s="83" t="s">
        <v>92</v>
      </c>
      <c r="E80" s="83" t="s">
        <v>75</v>
      </c>
      <c r="F80" s="83" t="s">
        <v>79</v>
      </c>
      <c r="G80" s="83"/>
      <c r="H80" s="83" t="s">
        <v>43</v>
      </c>
      <c r="I80" s="85">
        <v>900</v>
      </c>
      <c r="J80" s="86">
        <v>139.99</v>
      </c>
      <c r="K80" s="86">
        <f>J80*L80</f>
        <v>951.93200000000002</v>
      </c>
      <c r="L80" s="87">
        <v>6.8</v>
      </c>
      <c r="M80" s="86">
        <f t="shared" si="49"/>
        <v>856738.8</v>
      </c>
      <c r="N80" s="88">
        <v>0.14000000000000001</v>
      </c>
      <c r="O80" s="89">
        <v>16.72</v>
      </c>
      <c r="P80" s="86">
        <f t="shared" si="50"/>
        <v>350780.652</v>
      </c>
      <c r="Q80" s="90">
        <f>P80/M80</f>
        <v>0.40943710265018901</v>
      </c>
      <c r="R80" s="86">
        <f t="shared" si="51"/>
        <v>128510.82</v>
      </c>
      <c r="S80" s="90">
        <v>0.15</v>
      </c>
      <c r="T80" s="86">
        <f t="shared" si="52"/>
        <v>377447.32799999998</v>
      </c>
      <c r="U80" s="90">
        <f t="shared" si="53"/>
        <v>0.44056289734981102</v>
      </c>
      <c r="V80" s="86">
        <f t="shared" si="54"/>
        <v>25702.164000000001</v>
      </c>
      <c r="W80" s="90">
        <v>0.03</v>
      </c>
      <c r="X80" s="89">
        <v>225</v>
      </c>
      <c r="Y80" s="86">
        <f t="shared" si="55"/>
        <v>202500</v>
      </c>
      <c r="Z80" s="90">
        <f>Y80/M80</f>
        <v>0.23636142077375299</v>
      </c>
      <c r="AA80" s="86">
        <f>6.2*I80*L80</f>
        <v>37944</v>
      </c>
      <c r="AB80" s="90">
        <f>AA80/M80</f>
        <v>4.4288877776984099E-2</v>
      </c>
      <c r="AC80" s="86">
        <f>M80*0.03</f>
        <v>25702.164000000001</v>
      </c>
      <c r="AD80" s="91">
        <v>0.03</v>
      </c>
      <c r="AE80" s="86">
        <v>0</v>
      </c>
      <c r="AF80" s="91">
        <v>0</v>
      </c>
      <c r="AG80" s="86">
        <f t="shared" si="56"/>
        <v>85599</v>
      </c>
      <c r="AH80" s="88">
        <f t="shared" si="57"/>
        <v>9.9912598799073896E-2</v>
      </c>
    </row>
    <row r="81" spans="1:39" s="1" customFormat="1" ht="21" hidden="1" customHeight="1">
      <c r="A81" s="92" t="s">
        <v>32</v>
      </c>
      <c r="B81" s="92" t="s">
        <v>84</v>
      </c>
      <c r="C81" s="84">
        <v>7</v>
      </c>
      <c r="D81" s="93" t="s">
        <v>85</v>
      </c>
      <c r="E81" s="93" t="s">
        <v>75</v>
      </c>
      <c r="F81" s="93" t="s">
        <v>36</v>
      </c>
      <c r="G81" s="93"/>
      <c r="H81" s="93" t="s">
        <v>70</v>
      </c>
      <c r="I81" s="85">
        <v>300</v>
      </c>
      <c r="J81" s="86">
        <v>33.99</v>
      </c>
      <c r="K81" s="86">
        <v>251.93</v>
      </c>
      <c r="L81" s="87">
        <v>6.8</v>
      </c>
      <c r="M81" s="86">
        <f t="shared" si="49"/>
        <v>75579</v>
      </c>
      <c r="N81" s="88">
        <v>0.04</v>
      </c>
      <c r="O81" s="89">
        <v>11.47</v>
      </c>
      <c r="P81" s="86">
        <f t="shared" si="50"/>
        <v>36822.9</v>
      </c>
      <c r="Q81" s="90">
        <v>0.32528440439804701</v>
      </c>
      <c r="R81" s="86">
        <f t="shared" si="51"/>
        <v>15115.8</v>
      </c>
      <c r="S81" s="90">
        <v>0.2</v>
      </c>
      <c r="T81" s="86">
        <f t="shared" si="52"/>
        <v>23640.3</v>
      </c>
      <c r="U81" s="90">
        <f t="shared" si="53"/>
        <v>0.31278926685984199</v>
      </c>
      <c r="V81" s="86">
        <f t="shared" si="54"/>
        <v>2267.37</v>
      </c>
      <c r="W81" s="90">
        <v>0.03</v>
      </c>
      <c r="X81" s="89">
        <v>45.7</v>
      </c>
      <c r="Y81" s="86">
        <f t="shared" si="55"/>
        <v>13710</v>
      </c>
      <c r="Z81" s="90">
        <v>0.26</v>
      </c>
      <c r="AA81" s="86">
        <f>0.4*I81*L81</f>
        <v>816</v>
      </c>
      <c r="AB81" s="90">
        <f>AA81/M81</f>
        <v>1.0796649863057201E-2</v>
      </c>
      <c r="AC81" s="86">
        <f>M81*0.03</f>
        <v>2267.37</v>
      </c>
      <c r="AD81" s="91">
        <v>0.03</v>
      </c>
      <c r="AE81" s="86">
        <v>0</v>
      </c>
      <c r="AF81" s="91">
        <v>0</v>
      </c>
      <c r="AG81" s="86">
        <f t="shared" si="56"/>
        <v>4579.5600000000004</v>
      </c>
      <c r="AH81" s="88">
        <f t="shared" si="57"/>
        <v>6.0593021871154701E-2</v>
      </c>
      <c r="AI81" s="13"/>
      <c r="AJ81" s="13"/>
      <c r="AK81" s="13"/>
      <c r="AL81" s="13"/>
      <c r="AM81" s="13"/>
    </row>
    <row r="82" spans="1:39" s="1" customFormat="1" ht="21" hidden="1" customHeight="1">
      <c r="A82" s="92" t="s">
        <v>32</v>
      </c>
      <c r="B82" s="92" t="s">
        <v>84</v>
      </c>
      <c r="C82" s="84">
        <v>7</v>
      </c>
      <c r="D82" s="93" t="s">
        <v>86</v>
      </c>
      <c r="E82" s="93" t="s">
        <v>75</v>
      </c>
      <c r="F82" s="93" t="s">
        <v>36</v>
      </c>
      <c r="G82" s="93"/>
      <c r="H82" s="93" t="s">
        <v>70</v>
      </c>
      <c r="I82" s="85">
        <v>150</v>
      </c>
      <c r="J82" s="86">
        <v>37.99</v>
      </c>
      <c r="K82" s="86">
        <v>251.93</v>
      </c>
      <c r="L82" s="87">
        <v>6.8</v>
      </c>
      <c r="M82" s="86">
        <f t="shared" si="49"/>
        <v>37789.5</v>
      </c>
      <c r="N82" s="88">
        <v>0.04</v>
      </c>
      <c r="O82" s="89">
        <v>11.47</v>
      </c>
      <c r="P82" s="86">
        <f t="shared" si="50"/>
        <v>19023.45</v>
      </c>
      <c r="Q82" s="90">
        <v>0.32528440439804701</v>
      </c>
      <c r="R82" s="86">
        <f t="shared" si="51"/>
        <v>7557.9</v>
      </c>
      <c r="S82" s="90">
        <v>0.2</v>
      </c>
      <c r="T82" s="86">
        <f t="shared" si="52"/>
        <v>11208.15</v>
      </c>
      <c r="U82" s="90">
        <f t="shared" si="53"/>
        <v>0.296594292065256</v>
      </c>
      <c r="V82" s="86">
        <f t="shared" si="54"/>
        <v>1133.6849999999999</v>
      </c>
      <c r="W82" s="90">
        <v>0.03</v>
      </c>
      <c r="X82" s="89">
        <v>56.9</v>
      </c>
      <c r="Y82" s="86">
        <f t="shared" si="55"/>
        <v>8535</v>
      </c>
      <c r="Z82" s="90">
        <v>0.26</v>
      </c>
      <c r="AA82" s="86">
        <f>0.6*I82*L82</f>
        <v>612</v>
      </c>
      <c r="AB82" s="90">
        <f>AA82/M82</f>
        <v>1.6194974794585801E-2</v>
      </c>
      <c r="AC82" s="86">
        <f>M82*0.03</f>
        <v>1133.6849999999999</v>
      </c>
      <c r="AD82" s="91">
        <v>0.03</v>
      </c>
      <c r="AE82" s="86">
        <v>0</v>
      </c>
      <c r="AF82" s="91">
        <v>0</v>
      </c>
      <c r="AG82" s="86">
        <f t="shared" si="56"/>
        <v>-206.21999999999801</v>
      </c>
      <c r="AH82" s="88">
        <f t="shared" si="57"/>
        <v>-5.4570714087245897E-3</v>
      </c>
      <c r="AI82" s="13"/>
      <c r="AJ82" s="13"/>
      <c r="AK82" s="13"/>
      <c r="AL82" s="13"/>
      <c r="AM82" s="13"/>
    </row>
    <row r="83" spans="1:39" s="1" customFormat="1" ht="21" hidden="1" customHeight="1">
      <c r="A83" s="29" t="s">
        <v>56</v>
      </c>
      <c r="B83" s="39" t="s">
        <v>57</v>
      </c>
      <c r="C83" s="31">
        <v>7</v>
      </c>
      <c r="D83" s="31" t="s">
        <v>58</v>
      </c>
      <c r="E83" s="31" t="s">
        <v>35</v>
      </c>
      <c r="F83" s="31" t="s">
        <v>36</v>
      </c>
      <c r="G83" s="31"/>
      <c r="H83" s="31" t="s">
        <v>43</v>
      </c>
      <c r="I83" s="33">
        <v>800</v>
      </c>
      <c r="J83" s="34">
        <v>89.99</v>
      </c>
      <c r="K83" s="34">
        <f t="shared" ref="K83:K105" si="58">J83*L83</f>
        <v>719.92</v>
      </c>
      <c r="L83" s="19">
        <v>8</v>
      </c>
      <c r="M83" s="34">
        <f t="shared" si="49"/>
        <v>575936</v>
      </c>
      <c r="N83" s="35">
        <v>0.08</v>
      </c>
      <c r="O83" s="36">
        <v>5.87</v>
      </c>
      <c r="P83" s="34">
        <f t="shared" si="50"/>
        <v>170033.28</v>
      </c>
      <c r="Q83" s="37">
        <f t="shared" ref="Q83:Q105" si="59">P83/M83</f>
        <v>0.29522946994110499</v>
      </c>
      <c r="R83" s="34">
        <f t="shared" si="51"/>
        <v>46074.879999999997</v>
      </c>
      <c r="S83" s="37">
        <v>0.08</v>
      </c>
      <c r="T83" s="18">
        <f t="shared" si="52"/>
        <v>359827.84</v>
      </c>
      <c r="U83" s="22">
        <f t="shared" si="53"/>
        <v>0.62477053005889505</v>
      </c>
      <c r="V83" s="34">
        <f t="shared" si="54"/>
        <v>11518.72</v>
      </c>
      <c r="W83" s="37">
        <v>0.02</v>
      </c>
      <c r="X83" s="36">
        <v>171.5</v>
      </c>
      <c r="Y83" s="34">
        <f t="shared" si="55"/>
        <v>137200</v>
      </c>
      <c r="Z83" s="37">
        <f t="shared" ref="Z83:Z99" si="60">Y83/M83</f>
        <v>0.23822091343482599</v>
      </c>
      <c r="AA83" s="34">
        <f>M83*AB83</f>
        <v>28796.799999999999</v>
      </c>
      <c r="AB83" s="37">
        <v>0.05</v>
      </c>
      <c r="AC83" s="18">
        <f>M83*0.04</f>
        <v>23037.439999999999</v>
      </c>
      <c r="AD83" s="38">
        <v>0.02</v>
      </c>
      <c r="AE83" s="34">
        <f>J83/1.19*0.19*I83*L83</f>
        <v>91956.168067226899</v>
      </c>
      <c r="AF83" s="38">
        <f>AE83/M83</f>
        <v>0.159663865546219</v>
      </c>
      <c r="AG83" s="34">
        <f t="shared" si="56"/>
        <v>67318.711932773105</v>
      </c>
      <c r="AH83" s="35">
        <f t="shared" si="57"/>
        <v>0.116885751077851</v>
      </c>
      <c r="AI83" s="13"/>
      <c r="AJ83" s="13"/>
      <c r="AK83" s="13"/>
      <c r="AL83" s="13"/>
      <c r="AM83" s="13"/>
    </row>
    <row r="84" spans="1:39" s="1" customFormat="1" ht="21" hidden="1" customHeight="1">
      <c r="A84" s="29" t="s">
        <v>56</v>
      </c>
      <c r="B84" s="39" t="s">
        <v>59</v>
      </c>
      <c r="C84" s="31">
        <v>7</v>
      </c>
      <c r="D84" s="31" t="s">
        <v>60</v>
      </c>
      <c r="E84" s="31" t="s">
        <v>35</v>
      </c>
      <c r="F84" s="31" t="s">
        <v>36</v>
      </c>
      <c r="G84" s="31"/>
      <c r="H84" s="31" t="s">
        <v>43</v>
      </c>
      <c r="I84" s="33">
        <v>4000</v>
      </c>
      <c r="J84" s="34">
        <v>69.989999999999995</v>
      </c>
      <c r="K84" s="34">
        <f t="shared" si="58"/>
        <v>475.93200000000002</v>
      </c>
      <c r="L84" s="19">
        <v>6.8</v>
      </c>
      <c r="M84" s="34">
        <f t="shared" si="49"/>
        <v>1903728</v>
      </c>
      <c r="N84" s="35">
        <v>0.08</v>
      </c>
      <c r="O84" s="36">
        <v>11.04</v>
      </c>
      <c r="P84" s="34">
        <f t="shared" si="50"/>
        <v>738145.44</v>
      </c>
      <c r="Q84" s="37">
        <f t="shared" si="59"/>
        <v>0.38773681954564898</v>
      </c>
      <c r="R84" s="34">
        <f t="shared" si="51"/>
        <v>190372.8</v>
      </c>
      <c r="S84" s="37">
        <v>0.1</v>
      </c>
      <c r="T84" s="18">
        <f t="shared" si="52"/>
        <v>975209.76</v>
      </c>
      <c r="U84" s="22">
        <f t="shared" si="53"/>
        <v>0.51226318045435104</v>
      </c>
      <c r="V84" s="34">
        <f t="shared" si="54"/>
        <v>57111.839999999997</v>
      </c>
      <c r="W84" s="37">
        <v>0.03</v>
      </c>
      <c r="X84" s="36">
        <v>142</v>
      </c>
      <c r="Y84" s="34">
        <f t="shared" si="55"/>
        <v>568000</v>
      </c>
      <c r="Z84" s="37">
        <f t="shared" si="60"/>
        <v>0.29836195086693101</v>
      </c>
      <c r="AA84" s="34">
        <f>M84*AB84</f>
        <v>114223.67999999999</v>
      </c>
      <c r="AB84" s="37">
        <v>0.06</v>
      </c>
      <c r="AC84" s="18">
        <f>M84*0.04</f>
        <v>76149.119999999995</v>
      </c>
      <c r="AD84" s="38">
        <v>0.02</v>
      </c>
      <c r="AE84" s="34">
        <v>0</v>
      </c>
      <c r="AF84" s="38">
        <v>0</v>
      </c>
      <c r="AG84" s="34">
        <f t="shared" si="56"/>
        <v>159725.12</v>
      </c>
      <c r="AH84" s="35">
        <f t="shared" si="57"/>
        <v>8.3901229587419995E-2</v>
      </c>
      <c r="AI84" s="13"/>
      <c r="AJ84" s="13"/>
      <c r="AK84" s="13"/>
      <c r="AL84" s="13"/>
      <c r="AM84" s="13"/>
    </row>
    <row r="85" spans="1:39" s="1" customFormat="1" ht="21" hidden="1" customHeight="1">
      <c r="A85" s="29" t="s">
        <v>56</v>
      </c>
      <c r="B85" s="39" t="s">
        <v>59</v>
      </c>
      <c r="C85" s="31">
        <v>7</v>
      </c>
      <c r="D85" s="31" t="s">
        <v>61</v>
      </c>
      <c r="E85" s="31" t="s">
        <v>35</v>
      </c>
      <c r="F85" s="31" t="s">
        <v>36</v>
      </c>
      <c r="G85" s="31"/>
      <c r="H85" s="31" t="s">
        <v>43</v>
      </c>
      <c r="I85" s="33">
        <v>500</v>
      </c>
      <c r="J85" s="34">
        <v>79.989999999999995</v>
      </c>
      <c r="K85" s="34">
        <f t="shared" si="58"/>
        <v>543.93200000000002</v>
      </c>
      <c r="L85" s="19">
        <v>6.8</v>
      </c>
      <c r="M85" s="34">
        <f t="shared" si="49"/>
        <v>271966</v>
      </c>
      <c r="N85" s="35">
        <v>0.08</v>
      </c>
      <c r="O85" s="36">
        <v>15.79</v>
      </c>
      <c r="P85" s="34">
        <f t="shared" si="50"/>
        <v>116238.18</v>
      </c>
      <c r="Q85" s="37">
        <f t="shared" si="59"/>
        <v>0.42739967495936998</v>
      </c>
      <c r="R85" s="34">
        <f t="shared" si="51"/>
        <v>27196.6</v>
      </c>
      <c r="S85" s="37">
        <v>0.1</v>
      </c>
      <c r="T85" s="18">
        <f t="shared" si="52"/>
        <v>128531.22</v>
      </c>
      <c r="U85" s="22">
        <f t="shared" si="53"/>
        <v>0.47260032504062999</v>
      </c>
      <c r="V85" s="34">
        <f t="shared" si="54"/>
        <v>8158.98</v>
      </c>
      <c r="W85" s="37">
        <v>0.03</v>
      </c>
      <c r="X85" s="36">
        <v>170</v>
      </c>
      <c r="Y85" s="34">
        <f t="shared" si="55"/>
        <v>85000</v>
      </c>
      <c r="Z85" s="37">
        <f t="shared" si="60"/>
        <v>0.31253906738342302</v>
      </c>
      <c r="AA85" s="34">
        <f>M85*AB85</f>
        <v>16317.96</v>
      </c>
      <c r="AB85" s="37">
        <v>0.06</v>
      </c>
      <c r="AC85" s="18">
        <f>M85*0.04</f>
        <v>10878.64</v>
      </c>
      <c r="AD85" s="38">
        <v>0.02</v>
      </c>
      <c r="AE85" s="34">
        <v>0</v>
      </c>
      <c r="AF85" s="38">
        <v>0</v>
      </c>
      <c r="AG85" s="34">
        <f t="shared" si="56"/>
        <v>8175.6399999999703</v>
      </c>
      <c r="AH85" s="35">
        <f t="shared" si="57"/>
        <v>3.0061257657207002E-2</v>
      </c>
      <c r="AI85" s="13"/>
      <c r="AJ85" s="13"/>
      <c r="AK85" s="13"/>
      <c r="AL85" s="13"/>
      <c r="AM85" s="13"/>
    </row>
    <row r="86" spans="1:39" s="1" customFormat="1" ht="21" hidden="1" customHeight="1">
      <c r="A86" s="29" t="s">
        <v>56</v>
      </c>
      <c r="B86" s="39" t="s">
        <v>59</v>
      </c>
      <c r="C86" s="31">
        <v>7</v>
      </c>
      <c r="D86" s="31" t="s">
        <v>62</v>
      </c>
      <c r="E86" s="31" t="s">
        <v>35</v>
      </c>
      <c r="F86" s="31" t="s">
        <v>36</v>
      </c>
      <c r="G86" s="31"/>
      <c r="H86" s="31" t="s">
        <v>43</v>
      </c>
      <c r="I86" s="33">
        <v>3500</v>
      </c>
      <c r="J86" s="34">
        <v>79.989999999999995</v>
      </c>
      <c r="K86" s="34">
        <f t="shared" si="58"/>
        <v>543.93200000000002</v>
      </c>
      <c r="L86" s="19">
        <v>6.8</v>
      </c>
      <c r="M86" s="34">
        <f t="shared" si="49"/>
        <v>1903762</v>
      </c>
      <c r="N86" s="35">
        <v>0.08</v>
      </c>
      <c r="O86" s="36">
        <v>15.79</v>
      </c>
      <c r="P86" s="34">
        <f t="shared" si="50"/>
        <v>813667.26</v>
      </c>
      <c r="Q86" s="37">
        <f t="shared" si="59"/>
        <v>0.42739967495936998</v>
      </c>
      <c r="R86" s="34">
        <f t="shared" si="51"/>
        <v>190376.2</v>
      </c>
      <c r="S86" s="37">
        <v>0.1</v>
      </c>
      <c r="T86" s="18">
        <f t="shared" si="52"/>
        <v>899718.54</v>
      </c>
      <c r="U86" s="22">
        <f t="shared" si="53"/>
        <v>0.47260032504062999</v>
      </c>
      <c r="V86" s="34">
        <f t="shared" si="54"/>
        <v>57112.86</v>
      </c>
      <c r="W86" s="37">
        <v>0.03</v>
      </c>
      <c r="X86" s="36">
        <v>170</v>
      </c>
      <c r="Y86" s="34">
        <f t="shared" si="55"/>
        <v>595000</v>
      </c>
      <c r="Z86" s="37">
        <f t="shared" si="60"/>
        <v>0.31253906738342302</v>
      </c>
      <c r="AA86" s="34">
        <f>M86*AB86</f>
        <v>114225.72</v>
      </c>
      <c r="AB86" s="37">
        <v>0.06</v>
      </c>
      <c r="AC86" s="18">
        <f>M86*0.04</f>
        <v>76150.48</v>
      </c>
      <c r="AD86" s="38">
        <v>0.02</v>
      </c>
      <c r="AE86" s="34">
        <v>0</v>
      </c>
      <c r="AF86" s="38">
        <v>0</v>
      </c>
      <c r="AG86" s="34">
        <f t="shared" si="56"/>
        <v>57229.479999999901</v>
      </c>
      <c r="AH86" s="35">
        <f t="shared" si="57"/>
        <v>3.0061257657207099E-2</v>
      </c>
      <c r="AI86" s="13"/>
      <c r="AJ86" s="13"/>
      <c r="AK86" s="13"/>
      <c r="AL86" s="13"/>
      <c r="AM86" s="13"/>
    </row>
    <row r="87" spans="1:39" s="1" customFormat="1" ht="21" hidden="1" customHeight="1">
      <c r="A87" s="29" t="s">
        <v>56</v>
      </c>
      <c r="B87" s="39" t="s">
        <v>59</v>
      </c>
      <c r="C87" s="31">
        <v>7</v>
      </c>
      <c r="D87" s="31" t="s">
        <v>63</v>
      </c>
      <c r="E87" s="31" t="s">
        <v>35</v>
      </c>
      <c r="F87" s="31" t="s">
        <v>36</v>
      </c>
      <c r="G87" s="31"/>
      <c r="H87" s="31" t="s">
        <v>43</v>
      </c>
      <c r="I87" s="33">
        <v>600</v>
      </c>
      <c r="J87" s="34">
        <v>79.989999999999995</v>
      </c>
      <c r="K87" s="34">
        <f t="shared" si="58"/>
        <v>543.93200000000002</v>
      </c>
      <c r="L87" s="19">
        <v>6.8</v>
      </c>
      <c r="M87" s="34">
        <f t="shared" si="49"/>
        <v>326359.2</v>
      </c>
      <c r="N87" s="35">
        <v>0.08</v>
      </c>
      <c r="O87" s="36">
        <v>14.89</v>
      </c>
      <c r="P87" s="34">
        <f t="shared" si="50"/>
        <v>135813.81599999999</v>
      </c>
      <c r="Q87" s="37">
        <f t="shared" si="59"/>
        <v>0.41614826853356701</v>
      </c>
      <c r="R87" s="34">
        <f t="shared" si="51"/>
        <v>32635.919999999998</v>
      </c>
      <c r="S87" s="37">
        <v>0.1</v>
      </c>
      <c r="T87" s="18">
        <f t="shared" si="52"/>
        <v>157909.46400000001</v>
      </c>
      <c r="U87" s="22">
        <f t="shared" si="53"/>
        <v>0.48385173146643301</v>
      </c>
      <c r="V87" s="34">
        <f t="shared" si="54"/>
        <v>9790.7759999999998</v>
      </c>
      <c r="W87" s="37">
        <v>0.03</v>
      </c>
      <c r="X87" s="36">
        <v>155</v>
      </c>
      <c r="Y87" s="34">
        <f t="shared" si="55"/>
        <v>93000</v>
      </c>
      <c r="Z87" s="37">
        <f t="shared" si="60"/>
        <v>0.28496209084959201</v>
      </c>
      <c r="AA87" s="34">
        <f>M87*AB87</f>
        <v>19581.552</v>
      </c>
      <c r="AB87" s="37">
        <v>0.06</v>
      </c>
      <c r="AC87" s="18">
        <f>M87*AD87</f>
        <v>9790.7759999999998</v>
      </c>
      <c r="AD87" s="77">
        <v>0.03</v>
      </c>
      <c r="AE87" s="34">
        <v>0</v>
      </c>
      <c r="AF87" s="38">
        <v>0</v>
      </c>
      <c r="AG87" s="34">
        <f t="shared" si="56"/>
        <v>25746.36</v>
      </c>
      <c r="AH87" s="74">
        <f t="shared" si="57"/>
        <v>7.88896406168417E-2</v>
      </c>
      <c r="AI87" s="13"/>
      <c r="AJ87" s="13"/>
      <c r="AK87" s="13"/>
      <c r="AL87" s="13"/>
      <c r="AM87" s="13"/>
    </row>
    <row r="88" spans="1:39" s="2" customFormat="1" ht="21" hidden="1" customHeight="1">
      <c r="A88" s="29" t="s">
        <v>56</v>
      </c>
      <c r="B88" s="39" t="s">
        <v>64</v>
      </c>
      <c r="C88" s="31">
        <v>7</v>
      </c>
      <c r="D88" s="31" t="s">
        <v>65</v>
      </c>
      <c r="E88" s="31" t="s">
        <v>35</v>
      </c>
      <c r="F88" s="31" t="s">
        <v>36</v>
      </c>
      <c r="G88" s="31"/>
      <c r="H88" s="31" t="s">
        <v>37</v>
      </c>
      <c r="I88" s="33">
        <v>600</v>
      </c>
      <c r="J88" s="34">
        <v>129.99</v>
      </c>
      <c r="K88" s="34">
        <f t="shared" si="58"/>
        <v>1039.92</v>
      </c>
      <c r="L88" s="19">
        <v>8</v>
      </c>
      <c r="M88" s="34">
        <f t="shared" si="49"/>
        <v>623952</v>
      </c>
      <c r="N88" s="35">
        <v>0.2</v>
      </c>
      <c r="O88" s="36">
        <v>8.49</v>
      </c>
      <c r="P88" s="34">
        <f t="shared" si="50"/>
        <v>259135.2</v>
      </c>
      <c r="Q88" s="37">
        <f t="shared" si="59"/>
        <v>0.41531271636279699</v>
      </c>
      <c r="R88" s="34">
        <f t="shared" si="51"/>
        <v>62395.199999999997</v>
      </c>
      <c r="S88" s="37">
        <v>0.1</v>
      </c>
      <c r="T88" s="18">
        <f t="shared" si="52"/>
        <v>302421.59999999998</v>
      </c>
      <c r="U88" s="22">
        <f t="shared" si="53"/>
        <v>0.48468728363720298</v>
      </c>
      <c r="V88" s="34">
        <f t="shared" si="54"/>
        <v>6239.52</v>
      </c>
      <c r="W88" s="37">
        <v>0.01</v>
      </c>
      <c r="X88" s="36">
        <v>186</v>
      </c>
      <c r="Y88" s="34">
        <f t="shared" si="55"/>
        <v>111600</v>
      </c>
      <c r="Z88" s="37">
        <f t="shared" si="60"/>
        <v>0.178859912300946</v>
      </c>
      <c r="AA88" s="34">
        <f>7*I88*L88</f>
        <v>33600</v>
      </c>
      <c r="AB88" s="37">
        <v>0.05</v>
      </c>
      <c r="AC88" s="18">
        <f>M88*AD88</f>
        <v>18718.560000000001</v>
      </c>
      <c r="AD88" s="38">
        <v>0.03</v>
      </c>
      <c r="AE88" s="34">
        <f>(J88*(19%/(1+19%)))*I88*L88</f>
        <v>99622.588235294097</v>
      </c>
      <c r="AF88" s="38">
        <f>AE88/M88</f>
        <v>0.159663865546218</v>
      </c>
      <c r="AG88" s="34">
        <f t="shared" si="56"/>
        <v>32640.9317647059</v>
      </c>
      <c r="AH88" s="35">
        <f t="shared" si="57"/>
        <v>5.2313209613409101E-2</v>
      </c>
    </row>
    <row r="89" spans="1:39" s="2" customFormat="1" ht="21" hidden="1" customHeight="1">
      <c r="A89" s="29" t="s">
        <v>56</v>
      </c>
      <c r="B89" s="39" t="s">
        <v>64</v>
      </c>
      <c r="C89" s="31">
        <v>7</v>
      </c>
      <c r="D89" s="31" t="s">
        <v>66</v>
      </c>
      <c r="E89" s="31" t="s">
        <v>35</v>
      </c>
      <c r="F89" s="31" t="s">
        <v>36</v>
      </c>
      <c r="G89" s="31"/>
      <c r="H89" s="31" t="s">
        <v>43</v>
      </c>
      <c r="I89" s="33">
        <v>200</v>
      </c>
      <c r="J89" s="34">
        <v>99.99</v>
      </c>
      <c r="K89" s="34">
        <f t="shared" si="58"/>
        <v>919.90800000000002</v>
      </c>
      <c r="L89" s="19">
        <v>9.1999999999999993</v>
      </c>
      <c r="M89" s="34">
        <f t="shared" si="49"/>
        <v>183981.6</v>
      </c>
      <c r="N89" s="35">
        <v>0.2</v>
      </c>
      <c r="O89" s="36">
        <v>6.45</v>
      </c>
      <c r="P89" s="34">
        <f t="shared" si="50"/>
        <v>76261.56</v>
      </c>
      <c r="Q89" s="37">
        <f t="shared" si="59"/>
        <v>0.41450645064506503</v>
      </c>
      <c r="R89" s="34">
        <f t="shared" si="51"/>
        <v>18398.16</v>
      </c>
      <c r="S89" s="37">
        <v>0.1</v>
      </c>
      <c r="T89" s="18">
        <f t="shared" si="52"/>
        <v>89321.88</v>
      </c>
      <c r="U89" s="22">
        <f t="shared" si="53"/>
        <v>0.48549354935493499</v>
      </c>
      <c r="V89" s="34">
        <f t="shared" si="54"/>
        <v>1839.816</v>
      </c>
      <c r="W89" s="37">
        <v>0.01</v>
      </c>
      <c r="X89" s="36">
        <v>170.5</v>
      </c>
      <c r="Y89" s="34">
        <f t="shared" si="55"/>
        <v>34100</v>
      </c>
      <c r="Z89" s="37">
        <f t="shared" si="60"/>
        <v>0.18534462141866401</v>
      </c>
      <c r="AA89" s="34">
        <f>M89*AB89</f>
        <v>9199.08</v>
      </c>
      <c r="AB89" s="37">
        <v>0.05</v>
      </c>
      <c r="AC89" s="18">
        <f>M89*AD89</f>
        <v>5519.4480000000003</v>
      </c>
      <c r="AD89" s="38">
        <v>0.03</v>
      </c>
      <c r="AE89" s="34">
        <f>(J89*(20%/(1+20%)))*I89*L89</f>
        <v>30663.599999999999</v>
      </c>
      <c r="AF89" s="38">
        <f>AE89/M89</f>
        <v>0.16666666666666699</v>
      </c>
      <c r="AG89" s="34">
        <f t="shared" si="56"/>
        <v>7999.9359999999697</v>
      </c>
      <c r="AH89" s="35">
        <f t="shared" si="57"/>
        <v>4.3482261269605103E-2</v>
      </c>
    </row>
    <row r="90" spans="1:39" s="2" customFormat="1" ht="21" hidden="1" customHeight="1">
      <c r="A90" s="29" t="s">
        <v>56</v>
      </c>
      <c r="B90" s="30" t="s">
        <v>72</v>
      </c>
      <c r="C90" s="31">
        <v>7</v>
      </c>
      <c r="D90" s="31" t="s">
        <v>74</v>
      </c>
      <c r="E90" s="31" t="s">
        <v>75</v>
      </c>
      <c r="F90" s="31" t="s">
        <v>36</v>
      </c>
      <c r="G90" s="31"/>
      <c r="H90" s="31" t="s">
        <v>43</v>
      </c>
      <c r="I90" s="33">
        <v>1000</v>
      </c>
      <c r="J90" s="34">
        <v>299.99</v>
      </c>
      <c r="K90" s="34">
        <f t="shared" si="58"/>
        <v>2039.932</v>
      </c>
      <c r="L90" s="19">
        <v>6.8</v>
      </c>
      <c r="M90" s="34">
        <f t="shared" si="49"/>
        <v>2039932</v>
      </c>
      <c r="N90" s="35">
        <v>0.2</v>
      </c>
      <c r="O90" s="36">
        <v>22.92</v>
      </c>
      <c r="P90" s="34">
        <f>(J90*0.15*I90+O90*I90)*L90+J90*I90*N90</f>
        <v>521843.8</v>
      </c>
      <c r="Q90" s="37">
        <f t="shared" si="59"/>
        <v>0.25581431145744099</v>
      </c>
      <c r="R90" s="34">
        <f t="shared" si="51"/>
        <v>367187.76</v>
      </c>
      <c r="S90" s="37">
        <v>0.18</v>
      </c>
      <c r="T90" s="18">
        <f t="shared" si="52"/>
        <v>1150900.44</v>
      </c>
      <c r="U90" s="22">
        <f t="shared" si="53"/>
        <v>0.56418568854255902</v>
      </c>
      <c r="V90" s="34">
        <f t="shared" si="54"/>
        <v>305989.8</v>
      </c>
      <c r="W90" s="37">
        <v>0.15</v>
      </c>
      <c r="X90" s="36">
        <v>605</v>
      </c>
      <c r="Y90" s="34">
        <f t="shared" ref="Y90:Y105" si="61">X90*I90</f>
        <v>605000</v>
      </c>
      <c r="Z90" s="37">
        <f t="shared" si="60"/>
        <v>0.29657851340142699</v>
      </c>
      <c r="AA90" s="34">
        <f>M90*AB90</f>
        <v>122395.92</v>
      </c>
      <c r="AB90" s="37">
        <v>0.06</v>
      </c>
      <c r="AC90" s="18">
        <f>M90*0.04</f>
        <v>81597.279999999999</v>
      </c>
      <c r="AD90" s="38">
        <v>0.03</v>
      </c>
      <c r="AE90" s="34">
        <v>0</v>
      </c>
      <c r="AF90" s="38">
        <v>0</v>
      </c>
      <c r="AG90" s="34">
        <f t="shared" si="56"/>
        <v>35917.4399999999</v>
      </c>
      <c r="AH90" s="35">
        <f t="shared" si="57"/>
        <v>1.7607175141132098E-2</v>
      </c>
    </row>
    <row r="91" spans="1:39" s="2" customFormat="1" ht="21" hidden="1" customHeight="1">
      <c r="A91" s="29" t="s">
        <v>56</v>
      </c>
      <c r="B91" s="30" t="s">
        <v>72</v>
      </c>
      <c r="C91" s="31">
        <v>7</v>
      </c>
      <c r="D91" s="31" t="s">
        <v>93</v>
      </c>
      <c r="E91" s="31" t="s">
        <v>75</v>
      </c>
      <c r="F91" s="31" t="s">
        <v>79</v>
      </c>
      <c r="G91" s="31" t="s">
        <v>76</v>
      </c>
      <c r="H91" s="31" t="s">
        <v>43</v>
      </c>
      <c r="I91" s="33">
        <v>300</v>
      </c>
      <c r="J91" s="34">
        <v>299.99</v>
      </c>
      <c r="K91" s="34">
        <f t="shared" si="58"/>
        <v>2039.932</v>
      </c>
      <c r="L91" s="19">
        <v>6.8</v>
      </c>
      <c r="M91" s="34">
        <f t="shared" si="49"/>
        <v>611979.6</v>
      </c>
      <c r="N91" s="35">
        <v>0.2</v>
      </c>
      <c r="O91" s="36">
        <v>22.92</v>
      </c>
      <c r="P91" s="34">
        <f>(J91*0.15*I91+O91*I91)*L91+J91*I91*N91</f>
        <v>156553.14000000001</v>
      </c>
      <c r="Q91" s="37">
        <f t="shared" si="59"/>
        <v>0.25581431145744099</v>
      </c>
      <c r="R91" s="34">
        <f t="shared" si="51"/>
        <v>183593.88</v>
      </c>
      <c r="S91" s="37">
        <v>0.3</v>
      </c>
      <c r="T91" s="18">
        <f t="shared" si="52"/>
        <v>271832.58</v>
      </c>
      <c r="U91" s="22">
        <f t="shared" si="53"/>
        <v>0.44418568854255902</v>
      </c>
      <c r="V91" s="34">
        <f t="shared" si="54"/>
        <v>122395.92</v>
      </c>
      <c r="W91" s="37">
        <v>0.2</v>
      </c>
      <c r="X91" s="36">
        <v>605</v>
      </c>
      <c r="Y91" s="34">
        <f t="shared" si="61"/>
        <v>181500</v>
      </c>
      <c r="Z91" s="37">
        <f t="shared" si="60"/>
        <v>0.29657851340142699</v>
      </c>
      <c r="AA91" s="34">
        <f>M91*AB91</f>
        <v>36718.775999999998</v>
      </c>
      <c r="AB91" s="37">
        <v>0.06</v>
      </c>
      <c r="AC91" s="18">
        <f>M91*0.04</f>
        <v>24479.184000000001</v>
      </c>
      <c r="AD91" s="38">
        <v>0.03</v>
      </c>
      <c r="AE91" s="34">
        <v>0</v>
      </c>
      <c r="AF91" s="38">
        <v>0</v>
      </c>
      <c r="AG91" s="34">
        <f t="shared" si="56"/>
        <v>-93261.3</v>
      </c>
      <c r="AH91" s="35">
        <f t="shared" si="57"/>
        <v>-0.15239282485886799</v>
      </c>
    </row>
    <row r="92" spans="1:39" s="1" customFormat="1" ht="21" hidden="1" customHeight="1">
      <c r="A92" s="49" t="s">
        <v>32</v>
      </c>
      <c r="B92" s="49" t="s">
        <v>33</v>
      </c>
      <c r="C92" s="59">
        <v>8</v>
      </c>
      <c r="D92" s="60" t="s">
        <v>87</v>
      </c>
      <c r="E92" s="60" t="s">
        <v>35</v>
      </c>
      <c r="F92" s="60" t="s">
        <v>36</v>
      </c>
      <c r="G92" s="60" t="s">
        <v>76</v>
      </c>
      <c r="H92" s="60" t="s">
        <v>37</v>
      </c>
      <c r="I92" s="51">
        <v>600</v>
      </c>
      <c r="J92" s="52">
        <v>79.989999999999995</v>
      </c>
      <c r="K92" s="52">
        <f t="shared" si="58"/>
        <v>543.93200000000002</v>
      </c>
      <c r="L92" s="53">
        <v>6.8</v>
      </c>
      <c r="M92" s="52">
        <f t="shared" si="49"/>
        <v>326359.2</v>
      </c>
      <c r="N92" s="54">
        <v>0.15</v>
      </c>
      <c r="O92" s="55">
        <v>9.8000000000000007</v>
      </c>
      <c r="P92" s="52">
        <f t="shared" ref="P92:P105" si="62">(J92*0.15*I92+O92*I92)*L92+M92*N92</f>
        <v>137891.76</v>
      </c>
      <c r="Q92" s="56">
        <f t="shared" si="59"/>
        <v>0.42251531441430201</v>
      </c>
      <c r="R92" s="52">
        <f t="shared" si="51"/>
        <v>58744.656000000003</v>
      </c>
      <c r="S92" s="56">
        <v>0.18</v>
      </c>
      <c r="T92" s="52">
        <f t="shared" si="52"/>
        <v>129722.784</v>
      </c>
      <c r="U92" s="56">
        <f t="shared" si="53"/>
        <v>0.39748468558569799</v>
      </c>
      <c r="V92" s="55">
        <f t="shared" si="54"/>
        <v>16317.96</v>
      </c>
      <c r="W92" s="56">
        <v>0.05</v>
      </c>
      <c r="X92" s="55">
        <v>150</v>
      </c>
      <c r="Y92" s="52">
        <f t="shared" si="61"/>
        <v>90000</v>
      </c>
      <c r="Z92" s="56">
        <f t="shared" si="60"/>
        <v>0.27576976533831399</v>
      </c>
      <c r="AA92" s="61">
        <f>2.8*I92*L92</f>
        <v>11424</v>
      </c>
      <c r="AB92" s="54">
        <f t="shared" ref="AB92:AB97" si="63">AA92/M92</f>
        <v>3.5004375546943398E-2</v>
      </c>
      <c r="AC92" s="52">
        <f>M92*AD92</f>
        <v>9790.7759999999998</v>
      </c>
      <c r="AD92" s="57">
        <v>0.03</v>
      </c>
      <c r="AE92" s="52">
        <v>0</v>
      </c>
      <c r="AF92" s="57">
        <v>0</v>
      </c>
      <c r="AG92" s="52">
        <f t="shared" si="56"/>
        <v>2190.0479999999998</v>
      </c>
      <c r="AH92" s="54">
        <f t="shared" si="57"/>
        <v>6.7105447004404796E-3</v>
      </c>
    </row>
    <row r="93" spans="1:39" s="1" customFormat="1" ht="21" hidden="1" customHeight="1">
      <c r="A93" s="49" t="s">
        <v>32</v>
      </c>
      <c r="B93" s="49" t="s">
        <v>33</v>
      </c>
      <c r="C93" s="59">
        <v>8</v>
      </c>
      <c r="D93" s="60" t="s">
        <v>94</v>
      </c>
      <c r="E93" s="60" t="s">
        <v>35</v>
      </c>
      <c r="F93" s="60" t="s">
        <v>36</v>
      </c>
      <c r="G93" s="60" t="s">
        <v>76</v>
      </c>
      <c r="H93" s="60" t="s">
        <v>37</v>
      </c>
      <c r="I93" s="51">
        <v>300</v>
      </c>
      <c r="J93" s="52">
        <v>59.99</v>
      </c>
      <c r="K93" s="52">
        <f t="shared" si="58"/>
        <v>407.93200000000002</v>
      </c>
      <c r="L93" s="53">
        <v>6.8</v>
      </c>
      <c r="M93" s="52">
        <f t="shared" si="49"/>
        <v>122379.6</v>
      </c>
      <c r="N93" s="54">
        <v>0.12</v>
      </c>
      <c r="O93" s="55">
        <v>9.8000000000000007</v>
      </c>
      <c r="P93" s="52">
        <f t="shared" si="62"/>
        <v>53034.491999999998</v>
      </c>
      <c r="Q93" s="56">
        <f t="shared" si="59"/>
        <v>0.433360560093349</v>
      </c>
      <c r="R93" s="52">
        <f t="shared" si="51"/>
        <v>30594.9</v>
      </c>
      <c r="S93" s="56">
        <v>0.25</v>
      </c>
      <c r="T93" s="52">
        <f t="shared" si="52"/>
        <v>38750.207999999999</v>
      </c>
      <c r="U93" s="56">
        <f t="shared" si="53"/>
        <v>0.316639439906651</v>
      </c>
      <c r="V93" s="55">
        <f t="shared" si="54"/>
        <v>3671.3879999999999</v>
      </c>
      <c r="W93" s="56">
        <v>0.03</v>
      </c>
      <c r="X93" s="55">
        <v>95</v>
      </c>
      <c r="Y93" s="52">
        <f t="shared" si="61"/>
        <v>28500</v>
      </c>
      <c r="Z93" s="56">
        <f t="shared" si="60"/>
        <v>0.23288195091338801</v>
      </c>
      <c r="AA93" s="61">
        <f>2.67*I93*L93</f>
        <v>5446.8</v>
      </c>
      <c r="AB93" s="56">
        <f t="shared" si="63"/>
        <v>4.4507417902983799E-2</v>
      </c>
      <c r="AC93" s="52">
        <f>M93*AD93</f>
        <v>3671.3879999999999</v>
      </c>
      <c r="AD93" s="57">
        <v>0.03</v>
      </c>
      <c r="AE93" s="52">
        <v>0</v>
      </c>
      <c r="AF93" s="57">
        <v>0</v>
      </c>
      <c r="AG93" s="52">
        <f t="shared" si="56"/>
        <v>-2539.3679999999899</v>
      </c>
      <c r="AH93" s="54">
        <f t="shared" si="57"/>
        <v>-2.0749928909720199E-2</v>
      </c>
    </row>
    <row r="94" spans="1:39" s="2" customFormat="1" ht="21" hidden="1" customHeight="1">
      <c r="A94" s="49" t="s">
        <v>32</v>
      </c>
      <c r="B94" s="50" t="s">
        <v>38</v>
      </c>
      <c r="C94" s="59">
        <v>8</v>
      </c>
      <c r="D94" s="60" t="s">
        <v>88</v>
      </c>
      <c r="E94" s="60" t="s">
        <v>35</v>
      </c>
      <c r="F94" s="60" t="s">
        <v>36</v>
      </c>
      <c r="G94" s="60" t="s">
        <v>76</v>
      </c>
      <c r="H94" s="60" t="s">
        <v>70</v>
      </c>
      <c r="I94" s="51">
        <v>200</v>
      </c>
      <c r="J94" s="52">
        <v>29.99</v>
      </c>
      <c r="K94" s="61">
        <f t="shared" si="58"/>
        <v>203.93199999999999</v>
      </c>
      <c r="L94" s="53">
        <v>6.8</v>
      </c>
      <c r="M94" s="61">
        <f t="shared" si="49"/>
        <v>40786.400000000001</v>
      </c>
      <c r="N94" s="54">
        <v>0.12</v>
      </c>
      <c r="O94" s="55">
        <v>5.8</v>
      </c>
      <c r="P94" s="52">
        <f t="shared" si="62"/>
        <v>18900.328000000001</v>
      </c>
      <c r="Q94" s="56">
        <f t="shared" si="59"/>
        <v>0.46339779926642199</v>
      </c>
      <c r="R94" s="61">
        <f t="shared" si="51"/>
        <v>7341.5519999999997</v>
      </c>
      <c r="S94" s="56">
        <v>0.18</v>
      </c>
      <c r="T94" s="52">
        <f t="shared" si="52"/>
        <v>14544.52</v>
      </c>
      <c r="U94" s="56">
        <f t="shared" si="53"/>
        <v>0.35660220073357801</v>
      </c>
      <c r="V94" s="55">
        <f t="shared" si="54"/>
        <v>1223.5920000000001</v>
      </c>
      <c r="W94" s="56">
        <v>0.03</v>
      </c>
      <c r="X94" s="55">
        <v>40</v>
      </c>
      <c r="Y94" s="52">
        <f t="shared" si="61"/>
        <v>8000</v>
      </c>
      <c r="Z94" s="56">
        <f t="shared" si="60"/>
        <v>0.19614381264343</v>
      </c>
      <c r="AA94" s="61">
        <f>0.91*I94*L94</f>
        <v>1237.5999999999999</v>
      </c>
      <c r="AB94" s="56">
        <f t="shared" si="63"/>
        <v>3.03434478159386E-2</v>
      </c>
      <c r="AC94" s="52">
        <f t="shared" ref="AC94:AC105" si="64">M94*0.04</f>
        <v>1631.4559999999999</v>
      </c>
      <c r="AD94" s="57">
        <f>AC94/M94</f>
        <v>0.04</v>
      </c>
      <c r="AE94" s="52">
        <v>0</v>
      </c>
      <c r="AF94" s="57">
        <f t="shared" ref="AF94:AF99" si="65">AE94/M94</f>
        <v>0</v>
      </c>
      <c r="AG94" s="52">
        <f t="shared" si="56"/>
        <v>2451.8719999999998</v>
      </c>
      <c r="AH94" s="54">
        <f t="shared" si="57"/>
        <v>6.0114940274209001E-2</v>
      </c>
    </row>
    <row r="95" spans="1:39" s="2" customFormat="1" ht="21" hidden="1" customHeight="1">
      <c r="A95" s="49" t="s">
        <v>32</v>
      </c>
      <c r="B95" s="50" t="s">
        <v>38</v>
      </c>
      <c r="C95" s="59">
        <v>8</v>
      </c>
      <c r="D95" s="60" t="s">
        <v>89</v>
      </c>
      <c r="E95" s="60" t="s">
        <v>35</v>
      </c>
      <c r="F95" s="60" t="s">
        <v>36</v>
      </c>
      <c r="G95" s="60" t="s">
        <v>76</v>
      </c>
      <c r="H95" s="60" t="s">
        <v>70</v>
      </c>
      <c r="I95" s="51">
        <v>400</v>
      </c>
      <c r="J95" s="52">
        <v>49.99</v>
      </c>
      <c r="K95" s="61">
        <f t="shared" si="58"/>
        <v>339.93200000000002</v>
      </c>
      <c r="L95" s="53">
        <v>6.8</v>
      </c>
      <c r="M95" s="61">
        <f t="shared" si="49"/>
        <v>135972.79999999999</v>
      </c>
      <c r="N95" s="54">
        <v>0.12</v>
      </c>
      <c r="O95" s="55">
        <v>6.35</v>
      </c>
      <c r="P95" s="52">
        <f t="shared" si="62"/>
        <v>53984.656000000003</v>
      </c>
      <c r="Q95" s="56">
        <f t="shared" si="59"/>
        <v>0.39702540508101603</v>
      </c>
      <c r="R95" s="61">
        <f t="shared" si="51"/>
        <v>24475.103999999999</v>
      </c>
      <c r="S95" s="56">
        <v>0.18</v>
      </c>
      <c r="T95" s="52">
        <f t="shared" si="52"/>
        <v>57513.04</v>
      </c>
      <c r="U95" s="56">
        <f t="shared" si="53"/>
        <v>0.42297459491898398</v>
      </c>
      <c r="V95" s="55">
        <f t="shared" si="54"/>
        <v>4079.1840000000002</v>
      </c>
      <c r="W95" s="56">
        <v>0.03</v>
      </c>
      <c r="X95" s="55">
        <v>80</v>
      </c>
      <c r="Y95" s="52">
        <f t="shared" si="61"/>
        <v>32000</v>
      </c>
      <c r="Z95" s="56">
        <f t="shared" si="60"/>
        <v>0.235341185884236</v>
      </c>
      <c r="AA95" s="61">
        <f>1.55*I95*L95</f>
        <v>4216</v>
      </c>
      <c r="AB95" s="56">
        <f t="shared" si="63"/>
        <v>3.1006201240247999E-2</v>
      </c>
      <c r="AC95" s="52">
        <f t="shared" si="64"/>
        <v>5438.9120000000003</v>
      </c>
      <c r="AD95" s="57">
        <f>AC95/M95</f>
        <v>0.04</v>
      </c>
      <c r="AE95" s="52">
        <v>0</v>
      </c>
      <c r="AF95" s="57">
        <f t="shared" si="65"/>
        <v>0</v>
      </c>
      <c r="AG95" s="52">
        <f t="shared" si="56"/>
        <v>11778.944</v>
      </c>
      <c r="AH95" s="54">
        <f t="shared" si="57"/>
        <v>8.6627207794500102E-2</v>
      </c>
    </row>
    <row r="96" spans="1:39" s="2" customFormat="1" ht="21" hidden="1" customHeight="1">
      <c r="A96" s="49" t="s">
        <v>32</v>
      </c>
      <c r="B96" s="50" t="s">
        <v>90</v>
      </c>
      <c r="C96" s="59">
        <v>8</v>
      </c>
      <c r="D96" s="60" t="s">
        <v>91</v>
      </c>
      <c r="E96" s="60" t="s">
        <v>35</v>
      </c>
      <c r="F96" s="60" t="s">
        <v>36</v>
      </c>
      <c r="G96" s="60"/>
      <c r="H96" s="60" t="s">
        <v>37</v>
      </c>
      <c r="I96" s="51">
        <v>1200</v>
      </c>
      <c r="J96" s="52">
        <v>29.99</v>
      </c>
      <c r="K96" s="61">
        <f t="shared" si="58"/>
        <v>203.93199999999999</v>
      </c>
      <c r="L96" s="53">
        <v>6.8</v>
      </c>
      <c r="M96" s="61">
        <f t="shared" si="49"/>
        <v>244718.4</v>
      </c>
      <c r="N96" s="54">
        <v>0.08</v>
      </c>
      <c r="O96" s="55">
        <v>4.54</v>
      </c>
      <c r="P96" s="52">
        <f t="shared" si="62"/>
        <v>93331.631999999998</v>
      </c>
      <c r="Q96" s="56">
        <f t="shared" si="59"/>
        <v>0.38138379459819899</v>
      </c>
      <c r="R96" s="61">
        <f t="shared" si="51"/>
        <v>48943.68</v>
      </c>
      <c r="S96" s="56">
        <v>0.2</v>
      </c>
      <c r="T96" s="52">
        <f t="shared" si="52"/>
        <v>102443.088</v>
      </c>
      <c r="U96" s="56">
        <f t="shared" si="53"/>
        <v>0.418616205401801</v>
      </c>
      <c r="V96" s="55">
        <f t="shared" si="54"/>
        <v>12235.92</v>
      </c>
      <c r="W96" s="56">
        <v>0.05</v>
      </c>
      <c r="X96" s="55">
        <v>36</v>
      </c>
      <c r="Y96" s="52">
        <f t="shared" si="61"/>
        <v>43200</v>
      </c>
      <c r="Z96" s="56">
        <f t="shared" si="60"/>
        <v>0.176529431379087</v>
      </c>
      <c r="AA96" s="61">
        <f>1.3*I96*L96</f>
        <v>10608</v>
      </c>
      <c r="AB96" s="56">
        <f t="shared" si="63"/>
        <v>4.3347782594198102E-2</v>
      </c>
      <c r="AC96" s="52">
        <f t="shared" si="64"/>
        <v>9788.7360000000008</v>
      </c>
      <c r="AD96" s="57">
        <v>0.02</v>
      </c>
      <c r="AE96" s="52">
        <v>0</v>
      </c>
      <c r="AF96" s="57">
        <f t="shared" si="65"/>
        <v>0</v>
      </c>
      <c r="AG96" s="52">
        <f t="shared" si="56"/>
        <v>26610.432000000001</v>
      </c>
      <c r="AH96" s="54">
        <f t="shared" si="57"/>
        <v>0.10873899142851499</v>
      </c>
    </row>
    <row r="97" spans="1:39" s="2" customFormat="1" ht="21" hidden="1" customHeight="1">
      <c r="A97" s="49" t="s">
        <v>32</v>
      </c>
      <c r="B97" s="49" t="s">
        <v>40</v>
      </c>
      <c r="C97" s="59">
        <v>8</v>
      </c>
      <c r="D97" s="60" t="s">
        <v>41</v>
      </c>
      <c r="E97" s="60" t="s">
        <v>42</v>
      </c>
      <c r="F97" s="60" t="s">
        <v>36</v>
      </c>
      <c r="G97" s="60"/>
      <c r="H97" s="60" t="s">
        <v>43</v>
      </c>
      <c r="I97" s="51">
        <v>390</v>
      </c>
      <c r="J97" s="52">
        <v>71.989999999999995</v>
      </c>
      <c r="K97" s="52">
        <f t="shared" si="58"/>
        <v>489.53199999999998</v>
      </c>
      <c r="L97" s="53">
        <v>6.8</v>
      </c>
      <c r="M97" s="52">
        <f t="shared" si="49"/>
        <v>190917.48</v>
      </c>
      <c r="N97" s="54">
        <v>0.04</v>
      </c>
      <c r="O97" s="55">
        <v>17.690000000000001</v>
      </c>
      <c r="P97" s="52">
        <f t="shared" si="62"/>
        <v>83188.201199999996</v>
      </c>
      <c r="Q97" s="56">
        <f t="shared" si="59"/>
        <v>0.435728573412974</v>
      </c>
      <c r="R97" s="52">
        <f t="shared" si="51"/>
        <v>15273.3984</v>
      </c>
      <c r="S97" s="56">
        <v>0.08</v>
      </c>
      <c r="T97" s="52">
        <f t="shared" si="52"/>
        <v>92455.880399999995</v>
      </c>
      <c r="U97" s="56">
        <f t="shared" si="53"/>
        <v>0.48427142658702599</v>
      </c>
      <c r="V97" s="55">
        <f t="shared" si="54"/>
        <v>3818.3496</v>
      </c>
      <c r="W97" s="56">
        <v>0.02</v>
      </c>
      <c r="X97" s="55">
        <v>129.5</v>
      </c>
      <c r="Y97" s="52">
        <f t="shared" si="61"/>
        <v>50505</v>
      </c>
      <c r="Z97" s="56">
        <f t="shared" si="60"/>
        <v>0.26453837542795999</v>
      </c>
      <c r="AA97" s="52">
        <f>10.13*I97*L97</f>
        <v>26864.76</v>
      </c>
      <c r="AB97" s="56">
        <f t="shared" si="63"/>
        <v>0.14071398805389601</v>
      </c>
      <c r="AC97" s="52">
        <f t="shared" si="64"/>
        <v>7636.6992</v>
      </c>
      <c r="AD97" s="57">
        <f t="shared" ref="AD97:AD105" si="66">AC97/M97</f>
        <v>0.04</v>
      </c>
      <c r="AE97" s="52">
        <v>0</v>
      </c>
      <c r="AF97" s="57">
        <f t="shared" si="65"/>
        <v>0</v>
      </c>
      <c r="AG97" s="52">
        <f t="shared" si="56"/>
        <v>3631.0716000000002</v>
      </c>
      <c r="AH97" s="54">
        <f t="shared" si="57"/>
        <v>1.9019063105169799E-2</v>
      </c>
    </row>
    <row r="98" spans="1:39" s="1" customFormat="1" ht="21" hidden="1" customHeight="1">
      <c r="A98" s="49" t="s">
        <v>32</v>
      </c>
      <c r="B98" s="49" t="s">
        <v>40</v>
      </c>
      <c r="C98" s="59">
        <v>8</v>
      </c>
      <c r="D98" s="60" t="s">
        <v>44</v>
      </c>
      <c r="E98" s="60" t="s">
        <v>42</v>
      </c>
      <c r="F98" s="60" t="s">
        <v>36</v>
      </c>
      <c r="G98" s="60"/>
      <c r="H98" s="60" t="s">
        <v>43</v>
      </c>
      <c r="I98" s="51">
        <v>360</v>
      </c>
      <c r="J98" s="52">
        <v>119.99</v>
      </c>
      <c r="K98" s="52">
        <f t="shared" si="58"/>
        <v>815.93200000000002</v>
      </c>
      <c r="L98" s="53">
        <v>6.8</v>
      </c>
      <c r="M98" s="52">
        <f t="shared" si="49"/>
        <v>293735.52</v>
      </c>
      <c r="N98" s="54">
        <v>0.04</v>
      </c>
      <c r="O98" s="55">
        <v>19.59</v>
      </c>
      <c r="P98" s="52">
        <f t="shared" si="62"/>
        <v>103766.06879999999</v>
      </c>
      <c r="Q98" s="56">
        <f t="shared" si="59"/>
        <v>0.35326360530044199</v>
      </c>
      <c r="R98" s="52">
        <f t="shared" si="51"/>
        <v>23498.8416</v>
      </c>
      <c r="S98" s="56">
        <v>0.08</v>
      </c>
      <c r="T98" s="52">
        <f t="shared" si="52"/>
        <v>166470.6096</v>
      </c>
      <c r="U98" s="56">
        <f t="shared" si="53"/>
        <v>0.56673639469955805</v>
      </c>
      <c r="V98" s="55">
        <f t="shared" si="54"/>
        <v>5874.7103999999999</v>
      </c>
      <c r="W98" s="56">
        <v>0.02</v>
      </c>
      <c r="X98" s="55">
        <v>163.5</v>
      </c>
      <c r="Y98" s="52">
        <f t="shared" si="61"/>
        <v>58860</v>
      </c>
      <c r="Z98" s="56">
        <f t="shared" si="60"/>
        <v>0.200384345754303</v>
      </c>
      <c r="AA98" s="52">
        <f>M98*AB98</f>
        <v>26436.196800000002</v>
      </c>
      <c r="AB98" s="56">
        <v>0.09</v>
      </c>
      <c r="AC98" s="52">
        <f t="shared" si="64"/>
        <v>11749.4208</v>
      </c>
      <c r="AD98" s="57">
        <f t="shared" si="66"/>
        <v>0.04</v>
      </c>
      <c r="AE98" s="52">
        <v>0</v>
      </c>
      <c r="AF98" s="57">
        <f t="shared" si="65"/>
        <v>0</v>
      </c>
      <c r="AG98" s="52">
        <f t="shared" si="56"/>
        <v>63550.281600000002</v>
      </c>
      <c r="AH98" s="54">
        <f t="shared" si="57"/>
        <v>0.216352048945255</v>
      </c>
      <c r="AI98" s="13"/>
      <c r="AJ98" s="13"/>
      <c r="AK98" s="13"/>
      <c r="AL98" s="13"/>
      <c r="AM98" s="13"/>
    </row>
    <row r="99" spans="1:39" s="1" customFormat="1" ht="21" hidden="1" customHeight="1">
      <c r="A99" s="49" t="s">
        <v>32</v>
      </c>
      <c r="B99" s="49" t="s">
        <v>40</v>
      </c>
      <c r="C99" s="59">
        <v>8</v>
      </c>
      <c r="D99" s="60" t="s">
        <v>45</v>
      </c>
      <c r="E99" s="60" t="s">
        <v>42</v>
      </c>
      <c r="F99" s="60" t="s">
        <v>36</v>
      </c>
      <c r="G99" s="60"/>
      <c r="H99" s="60" t="s">
        <v>43</v>
      </c>
      <c r="I99" s="51">
        <v>120</v>
      </c>
      <c r="J99" s="52">
        <v>149.99</v>
      </c>
      <c r="K99" s="52">
        <f t="shared" si="58"/>
        <v>1019.932</v>
      </c>
      <c r="L99" s="53">
        <v>6.8</v>
      </c>
      <c r="M99" s="52">
        <f t="shared" si="49"/>
        <v>122391.84</v>
      </c>
      <c r="N99" s="54">
        <v>0.04</v>
      </c>
      <c r="O99" s="55">
        <v>23.57</v>
      </c>
      <c r="P99" s="52">
        <f t="shared" si="62"/>
        <v>42487.569600000003</v>
      </c>
      <c r="Q99" s="56">
        <f t="shared" si="59"/>
        <v>0.34714380958730601</v>
      </c>
      <c r="R99" s="52">
        <f t="shared" si="51"/>
        <v>9791.3472000000002</v>
      </c>
      <c r="S99" s="56">
        <v>0.08</v>
      </c>
      <c r="T99" s="52">
        <f t="shared" si="52"/>
        <v>70112.923200000005</v>
      </c>
      <c r="U99" s="56">
        <f t="shared" si="53"/>
        <v>0.57285619041269398</v>
      </c>
      <c r="V99" s="55">
        <f t="shared" si="54"/>
        <v>2447.8368</v>
      </c>
      <c r="W99" s="56">
        <v>0.02</v>
      </c>
      <c r="X99" s="55">
        <v>241</v>
      </c>
      <c r="Y99" s="52">
        <f t="shared" si="61"/>
        <v>28920</v>
      </c>
      <c r="Z99" s="56">
        <f t="shared" si="60"/>
        <v>0.23629026248808699</v>
      </c>
      <c r="AA99" s="52">
        <f>M99*AB99</f>
        <v>9791.3472000000002</v>
      </c>
      <c r="AB99" s="56">
        <v>0.08</v>
      </c>
      <c r="AC99" s="52">
        <f t="shared" si="64"/>
        <v>4895.6736000000001</v>
      </c>
      <c r="AD99" s="57">
        <f t="shared" si="66"/>
        <v>0.04</v>
      </c>
      <c r="AE99" s="52">
        <v>0</v>
      </c>
      <c r="AF99" s="57">
        <f t="shared" si="65"/>
        <v>0</v>
      </c>
      <c r="AG99" s="52">
        <f t="shared" si="56"/>
        <v>24058.065600000002</v>
      </c>
      <c r="AH99" s="54">
        <f t="shared" si="57"/>
        <v>0.196565927924607</v>
      </c>
      <c r="AI99" s="13"/>
      <c r="AJ99" s="13"/>
      <c r="AK99" s="13"/>
      <c r="AL99" s="13"/>
      <c r="AM99" s="13"/>
    </row>
    <row r="100" spans="1:39" s="2" customFormat="1" ht="21" hidden="1" customHeight="1">
      <c r="A100" s="49" t="s">
        <v>32</v>
      </c>
      <c r="B100" s="49" t="s">
        <v>46</v>
      </c>
      <c r="C100" s="59">
        <v>8</v>
      </c>
      <c r="D100" s="60" t="s">
        <v>47</v>
      </c>
      <c r="E100" s="60" t="s">
        <v>42</v>
      </c>
      <c r="F100" s="60" t="s">
        <v>36</v>
      </c>
      <c r="G100" s="60"/>
      <c r="H100" s="60" t="s">
        <v>43</v>
      </c>
      <c r="I100" s="51">
        <v>270</v>
      </c>
      <c r="J100" s="52">
        <v>112.99</v>
      </c>
      <c r="K100" s="52">
        <f t="shared" si="58"/>
        <v>768.33199999999999</v>
      </c>
      <c r="L100" s="53">
        <v>6.8</v>
      </c>
      <c r="M100" s="52">
        <f t="shared" si="49"/>
        <v>207449.64</v>
      </c>
      <c r="N100" s="54">
        <v>0.04</v>
      </c>
      <c r="O100" s="55">
        <v>23.57</v>
      </c>
      <c r="P100" s="52">
        <f t="shared" si="62"/>
        <v>82689.9516</v>
      </c>
      <c r="Q100" s="56">
        <f t="shared" si="59"/>
        <v>0.39860253119745098</v>
      </c>
      <c r="R100" s="52">
        <f t="shared" si="51"/>
        <v>20744.964</v>
      </c>
      <c r="S100" s="56">
        <v>0.1</v>
      </c>
      <c r="T100" s="52">
        <f t="shared" si="52"/>
        <v>104014.72440000001</v>
      </c>
      <c r="U100" s="56">
        <f t="shared" si="53"/>
        <v>0.50139746880254898</v>
      </c>
      <c r="V100" s="55">
        <f t="shared" si="54"/>
        <v>4148.9928</v>
      </c>
      <c r="W100" s="56">
        <v>0.02</v>
      </c>
      <c r="X100" s="55">
        <v>176</v>
      </c>
      <c r="Y100" s="52">
        <f t="shared" si="61"/>
        <v>47520</v>
      </c>
      <c r="Z100" s="56">
        <v>0.28000000000000003</v>
      </c>
      <c r="AA100" s="52">
        <f>M100*AB100</f>
        <v>14521.4748</v>
      </c>
      <c r="AB100" s="56">
        <v>7.0000000000000007E-2</v>
      </c>
      <c r="AC100" s="52">
        <f t="shared" si="64"/>
        <v>8297.9856</v>
      </c>
      <c r="AD100" s="57">
        <f t="shared" si="66"/>
        <v>0.04</v>
      </c>
      <c r="AE100" s="52">
        <v>0</v>
      </c>
      <c r="AF100" s="57">
        <v>0</v>
      </c>
      <c r="AG100" s="52">
        <f t="shared" si="56"/>
        <v>29526.271199999999</v>
      </c>
      <c r="AH100" s="54">
        <f t="shared" si="57"/>
        <v>0.142329826168896</v>
      </c>
    </row>
    <row r="101" spans="1:39" s="2" customFormat="1" ht="21" hidden="1" customHeight="1">
      <c r="A101" s="49" t="s">
        <v>32</v>
      </c>
      <c r="B101" s="49" t="s">
        <v>46</v>
      </c>
      <c r="C101" s="59">
        <v>8</v>
      </c>
      <c r="D101" s="60" t="s">
        <v>48</v>
      </c>
      <c r="E101" s="60" t="s">
        <v>42</v>
      </c>
      <c r="F101" s="60" t="s">
        <v>36</v>
      </c>
      <c r="G101" s="60"/>
      <c r="H101" s="60" t="s">
        <v>43</v>
      </c>
      <c r="I101" s="51">
        <v>180</v>
      </c>
      <c r="J101" s="52">
        <v>159.99</v>
      </c>
      <c r="K101" s="52">
        <f t="shared" si="58"/>
        <v>1087.932</v>
      </c>
      <c r="L101" s="53">
        <v>6.8</v>
      </c>
      <c r="M101" s="52">
        <f t="shared" si="49"/>
        <v>195827.76</v>
      </c>
      <c r="N101" s="54">
        <v>0.04</v>
      </c>
      <c r="O101" s="55">
        <v>29.27</v>
      </c>
      <c r="P101" s="52">
        <f t="shared" si="62"/>
        <v>73033.754400000005</v>
      </c>
      <c r="Q101" s="56">
        <f t="shared" si="59"/>
        <v>0.37294893430839399</v>
      </c>
      <c r="R101" s="52">
        <f t="shared" si="51"/>
        <v>19582.776000000002</v>
      </c>
      <c r="S101" s="56">
        <v>0.1</v>
      </c>
      <c r="T101" s="52">
        <f t="shared" si="52"/>
        <v>103211.22960000001</v>
      </c>
      <c r="U101" s="56">
        <f t="shared" si="53"/>
        <v>0.52705106569160598</v>
      </c>
      <c r="V101" s="55">
        <f t="shared" si="54"/>
        <v>3916.5551999999998</v>
      </c>
      <c r="W101" s="56">
        <v>0.02</v>
      </c>
      <c r="X101" s="55">
        <v>280.3</v>
      </c>
      <c r="Y101" s="52">
        <f t="shared" si="61"/>
        <v>50454</v>
      </c>
      <c r="Z101" s="56">
        <f t="shared" ref="Z101:Z106" si="67">Y101/M101</f>
        <v>0.25764477926929302</v>
      </c>
      <c r="AA101" s="52">
        <f>M101*AB101</f>
        <v>13707.9432</v>
      </c>
      <c r="AB101" s="56">
        <v>7.0000000000000007E-2</v>
      </c>
      <c r="AC101" s="52">
        <f t="shared" si="64"/>
        <v>7833.1103999999996</v>
      </c>
      <c r="AD101" s="57">
        <f t="shared" si="66"/>
        <v>0.04</v>
      </c>
      <c r="AE101" s="52">
        <v>0</v>
      </c>
      <c r="AF101" s="57">
        <v>0</v>
      </c>
      <c r="AG101" s="52">
        <f t="shared" si="56"/>
        <v>27299.620800000001</v>
      </c>
      <c r="AH101" s="54">
        <f t="shared" si="57"/>
        <v>0.13940628642231301</v>
      </c>
    </row>
    <row r="102" spans="1:39" s="2" customFormat="1" ht="21" hidden="1" customHeight="1">
      <c r="A102" s="49" t="s">
        <v>32</v>
      </c>
      <c r="B102" s="49" t="s">
        <v>46</v>
      </c>
      <c r="C102" s="59">
        <v>8</v>
      </c>
      <c r="D102" s="60" t="s">
        <v>49</v>
      </c>
      <c r="E102" s="60" t="s">
        <v>42</v>
      </c>
      <c r="F102" s="60" t="s">
        <v>36</v>
      </c>
      <c r="G102" s="60"/>
      <c r="H102" s="60" t="s">
        <v>43</v>
      </c>
      <c r="I102" s="51">
        <v>120</v>
      </c>
      <c r="J102" s="52">
        <v>69.989999999999995</v>
      </c>
      <c r="K102" s="52">
        <f t="shared" si="58"/>
        <v>475.93200000000002</v>
      </c>
      <c r="L102" s="53">
        <v>6.8</v>
      </c>
      <c r="M102" s="52">
        <f t="shared" si="49"/>
        <v>57111.839999999997</v>
      </c>
      <c r="N102" s="54">
        <v>0.02</v>
      </c>
      <c r="O102" s="55">
        <v>18.25</v>
      </c>
      <c r="P102" s="52">
        <f t="shared" si="62"/>
        <v>24601.0128</v>
      </c>
      <c r="Q102" s="56">
        <f t="shared" si="59"/>
        <v>0.43075153593370502</v>
      </c>
      <c r="R102" s="52">
        <f t="shared" si="51"/>
        <v>6853.4207999999999</v>
      </c>
      <c r="S102" s="56">
        <v>0.12</v>
      </c>
      <c r="T102" s="52">
        <f t="shared" si="52"/>
        <v>25657.4064</v>
      </c>
      <c r="U102" s="56">
        <f t="shared" si="53"/>
        <v>0.44924846406629498</v>
      </c>
      <c r="V102" s="55">
        <f t="shared" si="54"/>
        <v>1142.2367999999999</v>
      </c>
      <c r="W102" s="56">
        <v>0.02</v>
      </c>
      <c r="X102" s="55">
        <v>78</v>
      </c>
      <c r="Y102" s="52">
        <f t="shared" si="61"/>
        <v>9360</v>
      </c>
      <c r="Z102" s="56">
        <f t="shared" si="67"/>
        <v>0.163888958926906</v>
      </c>
      <c r="AA102" s="52">
        <f>6.11*I102*L102</f>
        <v>4985.76</v>
      </c>
      <c r="AB102" s="56">
        <v>7.0000000000000007E-2</v>
      </c>
      <c r="AC102" s="52">
        <f t="shared" si="64"/>
        <v>2284.4735999999998</v>
      </c>
      <c r="AD102" s="57">
        <f t="shared" si="66"/>
        <v>0.04</v>
      </c>
      <c r="AE102" s="52">
        <v>0</v>
      </c>
      <c r="AF102" s="57">
        <f>AE102/M102</f>
        <v>0</v>
      </c>
      <c r="AG102" s="52">
        <f t="shared" si="56"/>
        <v>7884.9359999999997</v>
      </c>
      <c r="AH102" s="54">
        <f t="shared" si="57"/>
        <v>0.138061319684325</v>
      </c>
    </row>
    <row r="103" spans="1:39" s="2" customFormat="1" ht="21" hidden="1" customHeight="1">
      <c r="A103" s="49" t="s">
        <v>32</v>
      </c>
      <c r="B103" s="49" t="s">
        <v>46</v>
      </c>
      <c r="C103" s="59">
        <v>8</v>
      </c>
      <c r="D103" s="60" t="s">
        <v>53</v>
      </c>
      <c r="E103" s="60" t="s">
        <v>42</v>
      </c>
      <c r="F103" s="60" t="s">
        <v>36</v>
      </c>
      <c r="G103" s="60"/>
      <c r="H103" s="60" t="s">
        <v>37</v>
      </c>
      <c r="I103" s="51">
        <v>300</v>
      </c>
      <c r="J103" s="52">
        <v>89.99</v>
      </c>
      <c r="K103" s="52">
        <f t="shared" si="58"/>
        <v>611.93200000000002</v>
      </c>
      <c r="L103" s="53">
        <v>6.8</v>
      </c>
      <c r="M103" s="52">
        <f t="shared" si="49"/>
        <v>183579.6</v>
      </c>
      <c r="N103" s="54">
        <v>0.03</v>
      </c>
      <c r="O103" s="55">
        <v>18.63</v>
      </c>
      <c r="P103" s="52">
        <f t="shared" si="62"/>
        <v>71049.528000000006</v>
      </c>
      <c r="Q103" s="56">
        <f t="shared" si="59"/>
        <v>0.38702300255583999</v>
      </c>
      <c r="R103" s="52">
        <f t="shared" si="51"/>
        <v>27536.94</v>
      </c>
      <c r="S103" s="56">
        <v>0.15</v>
      </c>
      <c r="T103" s="52">
        <f t="shared" si="52"/>
        <v>84993.131999999998</v>
      </c>
      <c r="U103" s="56">
        <f t="shared" si="53"/>
        <v>0.46297699744415999</v>
      </c>
      <c r="V103" s="55">
        <f t="shared" si="54"/>
        <v>3671.5920000000001</v>
      </c>
      <c r="W103" s="56">
        <v>0.02</v>
      </c>
      <c r="X103" s="55">
        <v>143</v>
      </c>
      <c r="Y103" s="52">
        <f t="shared" si="61"/>
        <v>42900</v>
      </c>
      <c r="Z103" s="56">
        <f t="shared" si="67"/>
        <v>0.23368609584071401</v>
      </c>
      <c r="AA103" s="52">
        <f>10.13*I103*L103</f>
        <v>20665.2</v>
      </c>
      <c r="AB103" s="56">
        <f>AA103/M103</f>
        <v>0.11256806311812401</v>
      </c>
      <c r="AC103" s="52">
        <f t="shared" si="64"/>
        <v>7343.1840000000002</v>
      </c>
      <c r="AD103" s="57">
        <f t="shared" si="66"/>
        <v>0.04</v>
      </c>
      <c r="AE103" s="52">
        <v>0</v>
      </c>
      <c r="AF103" s="57">
        <f>AE103/M103</f>
        <v>0</v>
      </c>
      <c r="AG103" s="52">
        <f t="shared" si="56"/>
        <v>10413.156000000001</v>
      </c>
      <c r="AH103" s="54">
        <f t="shared" si="57"/>
        <v>5.6722838485321801E-2</v>
      </c>
    </row>
    <row r="104" spans="1:39" s="2" customFormat="1" ht="21" hidden="1" customHeight="1">
      <c r="A104" s="49" t="s">
        <v>32</v>
      </c>
      <c r="B104" s="49" t="s">
        <v>46</v>
      </c>
      <c r="C104" s="59">
        <v>8</v>
      </c>
      <c r="D104" s="60" t="s">
        <v>54</v>
      </c>
      <c r="E104" s="60" t="s">
        <v>42</v>
      </c>
      <c r="F104" s="60" t="s">
        <v>36</v>
      </c>
      <c r="G104" s="60"/>
      <c r="H104" s="60" t="s">
        <v>37</v>
      </c>
      <c r="I104" s="51">
        <v>120</v>
      </c>
      <c r="J104" s="52">
        <v>109.99</v>
      </c>
      <c r="K104" s="52">
        <f t="shared" si="58"/>
        <v>747.93200000000002</v>
      </c>
      <c r="L104" s="53">
        <v>6.8</v>
      </c>
      <c r="M104" s="52">
        <f t="shared" si="49"/>
        <v>89751.84</v>
      </c>
      <c r="N104" s="54">
        <v>0.03</v>
      </c>
      <c r="O104" s="55">
        <v>20.149999999999999</v>
      </c>
      <c r="P104" s="52">
        <f t="shared" si="62"/>
        <v>32597.731199999998</v>
      </c>
      <c r="Q104" s="56">
        <f t="shared" si="59"/>
        <v>0.36319847258841698</v>
      </c>
      <c r="R104" s="52">
        <f t="shared" si="51"/>
        <v>13462.776</v>
      </c>
      <c r="S104" s="56">
        <v>0.15</v>
      </c>
      <c r="T104" s="52">
        <f t="shared" si="52"/>
        <v>43691.332799999996</v>
      </c>
      <c r="U104" s="56">
        <f t="shared" si="53"/>
        <v>0.486801527411583</v>
      </c>
      <c r="V104" s="55">
        <f t="shared" si="54"/>
        <v>1795.0368000000001</v>
      </c>
      <c r="W104" s="56">
        <v>0.02</v>
      </c>
      <c r="X104" s="55">
        <v>148</v>
      </c>
      <c r="Y104" s="52">
        <f t="shared" si="61"/>
        <v>17760</v>
      </c>
      <c r="Z104" s="56">
        <f t="shared" si="67"/>
        <v>0.19787895156244201</v>
      </c>
      <c r="AA104" s="52">
        <f>1.11*I104*L104</f>
        <v>905.76</v>
      </c>
      <c r="AB104" s="56">
        <f>AA104/M104</f>
        <v>1.0091826529684499E-2</v>
      </c>
      <c r="AC104" s="52">
        <f t="shared" si="64"/>
        <v>3590.0736000000002</v>
      </c>
      <c r="AD104" s="57">
        <f t="shared" si="66"/>
        <v>0.04</v>
      </c>
      <c r="AE104" s="52">
        <v>0</v>
      </c>
      <c r="AF104" s="57">
        <f>AE104/M104</f>
        <v>0</v>
      </c>
      <c r="AG104" s="52">
        <f t="shared" si="56"/>
        <v>19640.4624</v>
      </c>
      <c r="AH104" s="54">
        <f t="shared" si="57"/>
        <v>0.21883074931945701</v>
      </c>
    </row>
    <row r="105" spans="1:39" s="1" customFormat="1" ht="21" hidden="1" customHeight="1">
      <c r="A105" s="49" t="s">
        <v>32</v>
      </c>
      <c r="B105" s="49" t="s">
        <v>46</v>
      </c>
      <c r="C105" s="59">
        <v>8</v>
      </c>
      <c r="D105" s="60" t="s">
        <v>55</v>
      </c>
      <c r="E105" s="60" t="s">
        <v>42</v>
      </c>
      <c r="F105" s="60" t="s">
        <v>36</v>
      </c>
      <c r="G105" s="60"/>
      <c r="H105" s="60" t="s">
        <v>37</v>
      </c>
      <c r="I105" s="51">
        <v>180</v>
      </c>
      <c r="J105" s="52">
        <v>129.99</v>
      </c>
      <c r="K105" s="52">
        <f t="shared" si="58"/>
        <v>883.93200000000002</v>
      </c>
      <c r="L105" s="53">
        <v>6.8</v>
      </c>
      <c r="M105" s="52">
        <f t="shared" si="49"/>
        <v>159107.76</v>
      </c>
      <c r="N105" s="54">
        <v>0.03</v>
      </c>
      <c r="O105" s="55">
        <v>20.53</v>
      </c>
      <c r="P105" s="52">
        <f t="shared" si="62"/>
        <v>53768.116800000003</v>
      </c>
      <c r="Q105" s="56">
        <f t="shared" si="59"/>
        <v>0.33793522578659901</v>
      </c>
      <c r="R105" s="52">
        <f t="shared" si="51"/>
        <v>23866.164000000001</v>
      </c>
      <c r="S105" s="56">
        <v>0.15</v>
      </c>
      <c r="T105" s="52">
        <f t="shared" si="52"/>
        <v>81473.479200000002</v>
      </c>
      <c r="U105" s="56">
        <f t="shared" si="53"/>
        <v>0.51206477421340102</v>
      </c>
      <c r="V105" s="55">
        <f t="shared" si="54"/>
        <v>3182.1552000000001</v>
      </c>
      <c r="W105" s="56">
        <v>0.02</v>
      </c>
      <c r="X105" s="55">
        <v>165</v>
      </c>
      <c r="Y105" s="52">
        <f t="shared" si="61"/>
        <v>29700</v>
      </c>
      <c r="Z105" s="56">
        <f t="shared" si="67"/>
        <v>0.18666594262907099</v>
      </c>
      <c r="AA105" s="52">
        <f>M105*AB105</f>
        <v>12728.620800000001</v>
      </c>
      <c r="AB105" s="56">
        <v>0.08</v>
      </c>
      <c r="AC105" s="52">
        <f t="shared" si="64"/>
        <v>6364.3104000000003</v>
      </c>
      <c r="AD105" s="57">
        <f t="shared" si="66"/>
        <v>0.04</v>
      </c>
      <c r="AE105" s="52">
        <v>0</v>
      </c>
      <c r="AF105" s="57">
        <f>AE105/M105</f>
        <v>0</v>
      </c>
      <c r="AG105" s="52">
        <f t="shared" si="56"/>
        <v>29498.392800000001</v>
      </c>
      <c r="AH105" s="54">
        <f t="shared" si="57"/>
        <v>0.18539883158432999</v>
      </c>
      <c r="AI105" s="13"/>
      <c r="AJ105" s="13"/>
      <c r="AK105" s="13"/>
      <c r="AL105" s="13"/>
      <c r="AM105" s="13"/>
    </row>
    <row r="106" spans="1:39" s="1" customFormat="1" ht="21" customHeight="1">
      <c r="A106" s="50" t="s">
        <v>32</v>
      </c>
      <c r="B106" s="59" t="s">
        <v>77</v>
      </c>
      <c r="C106" s="50">
        <v>8</v>
      </c>
      <c r="D106" s="50" t="s">
        <v>80</v>
      </c>
      <c r="E106" s="50" t="s">
        <v>75</v>
      </c>
      <c r="F106" s="50" t="s">
        <v>79</v>
      </c>
      <c r="G106" s="50"/>
      <c r="H106" s="50" t="s">
        <v>37</v>
      </c>
      <c r="I106" s="51">
        <v>1200</v>
      </c>
      <c r="J106" s="52">
        <v>69.989999999999995</v>
      </c>
      <c r="K106" s="52">
        <f>J106*L106</f>
        <v>475.93200000000002</v>
      </c>
      <c r="L106" s="53">
        <v>6.8</v>
      </c>
      <c r="M106" s="52">
        <f t="shared" ref="M106:M135" si="68">I106*K106</f>
        <v>571118.4</v>
      </c>
      <c r="N106" s="54">
        <v>0.14000000000000001</v>
      </c>
      <c r="O106" s="55">
        <v>8.6</v>
      </c>
      <c r="P106" s="52">
        <f t="shared" ref="P106:P119" si="69">(J106*0.15*I106+O106*I106)*L106+M106*N106</f>
        <v>235800.33600000001</v>
      </c>
      <c r="Q106" s="56">
        <f>P106/M106</f>
        <v>0.41287469638519803</v>
      </c>
      <c r="R106" s="52">
        <f t="shared" ref="R106:R135" si="70">M106*S106</f>
        <v>97090.127999999997</v>
      </c>
      <c r="S106" s="56">
        <v>0.17</v>
      </c>
      <c r="T106" s="52">
        <f t="shared" ref="T106:T135" si="71">M106-P106-R106</f>
        <v>238227.93599999999</v>
      </c>
      <c r="U106" s="56">
        <f t="shared" ref="U106:U135" si="72">T106/M106</f>
        <v>0.41712530361480199</v>
      </c>
      <c r="V106" s="52">
        <f t="shared" ref="V106:V135" si="73">M106*W106</f>
        <v>17133.552</v>
      </c>
      <c r="W106" s="56">
        <v>0.03</v>
      </c>
      <c r="X106" s="55">
        <v>145</v>
      </c>
      <c r="Y106" s="52">
        <f>X106*I106</f>
        <v>174000</v>
      </c>
      <c r="Z106" s="56">
        <f t="shared" si="67"/>
        <v>0.304665372364119</v>
      </c>
      <c r="AA106" s="52">
        <f>M106*AB106</f>
        <v>22844.736000000001</v>
      </c>
      <c r="AB106" s="56">
        <v>0.04</v>
      </c>
      <c r="AC106" s="52">
        <f>M106*0.02</f>
        <v>11422.368</v>
      </c>
      <c r="AD106" s="57">
        <v>0.02</v>
      </c>
      <c r="AE106" s="52">
        <v>0</v>
      </c>
      <c r="AF106" s="57">
        <v>0</v>
      </c>
      <c r="AG106" s="52">
        <f t="shared" ref="AG106:AG135" si="74">T106-V106-Y106-AA106-AC106-AE106</f>
        <v>12827.279999999901</v>
      </c>
      <c r="AH106" s="54">
        <f t="shared" ref="AH106:AH135" si="75">AG106/M106</f>
        <v>2.2459931250682699E-2</v>
      </c>
    </row>
    <row r="107" spans="1:39" s="1" customFormat="1" ht="21" customHeight="1">
      <c r="A107" s="50" t="s">
        <v>32</v>
      </c>
      <c r="B107" s="59"/>
      <c r="C107" s="50">
        <v>8</v>
      </c>
      <c r="D107" s="50" t="s">
        <v>82</v>
      </c>
      <c r="E107" s="50" t="s">
        <v>75</v>
      </c>
      <c r="F107" s="50"/>
      <c r="G107" s="50"/>
      <c r="H107" s="50"/>
      <c r="I107" s="51">
        <v>500</v>
      </c>
      <c r="J107" s="52">
        <v>119.99</v>
      </c>
      <c r="K107" s="52">
        <f>J107*L107</f>
        <v>815.93200000000002</v>
      </c>
      <c r="L107" s="53">
        <v>6.8</v>
      </c>
      <c r="M107" s="52">
        <f t="shared" si="68"/>
        <v>407966</v>
      </c>
      <c r="N107" s="54">
        <v>0.14000000000000001</v>
      </c>
      <c r="O107" s="55">
        <v>16.72</v>
      </c>
      <c r="P107" s="52">
        <f t="shared" si="69"/>
        <v>175158.14</v>
      </c>
      <c r="Q107" s="56">
        <f>P107/M107</f>
        <v>0.42934494541211798</v>
      </c>
      <c r="R107" s="52">
        <f t="shared" si="70"/>
        <v>61194.9</v>
      </c>
      <c r="S107" s="56">
        <v>0.15</v>
      </c>
      <c r="T107" s="52">
        <f t="shared" si="71"/>
        <v>171612.96</v>
      </c>
      <c r="U107" s="56">
        <f t="shared" si="72"/>
        <v>0.42065505458788199</v>
      </c>
      <c r="V107" s="52">
        <f t="shared" si="73"/>
        <v>12238.98</v>
      </c>
      <c r="W107" s="56">
        <v>0.03</v>
      </c>
      <c r="X107" s="55">
        <v>200</v>
      </c>
      <c r="Y107" s="52">
        <f>X107*I107</f>
        <v>100000</v>
      </c>
      <c r="Z107" s="56"/>
      <c r="AA107" s="52"/>
      <c r="AB107" s="56"/>
      <c r="AC107" s="52"/>
      <c r="AD107" s="57"/>
      <c r="AE107" s="52"/>
      <c r="AF107" s="57"/>
      <c r="AG107" s="52">
        <f t="shared" si="74"/>
        <v>59373.98</v>
      </c>
      <c r="AH107" s="54">
        <f t="shared" si="75"/>
        <v>0.145536588833383</v>
      </c>
    </row>
    <row r="108" spans="1:39" s="2" customFormat="1" ht="21" customHeight="1">
      <c r="A108" s="50" t="s">
        <v>32</v>
      </c>
      <c r="B108" s="59" t="s">
        <v>81</v>
      </c>
      <c r="C108" s="50">
        <v>8</v>
      </c>
      <c r="D108" s="50" t="s">
        <v>83</v>
      </c>
      <c r="E108" s="50" t="s">
        <v>75</v>
      </c>
      <c r="F108" s="50" t="s">
        <v>79</v>
      </c>
      <c r="G108" s="50"/>
      <c r="H108" s="50" t="s">
        <v>43</v>
      </c>
      <c r="I108" s="51">
        <v>2000</v>
      </c>
      <c r="J108" s="52">
        <v>129.99</v>
      </c>
      <c r="K108" s="52">
        <f>J108*L108</f>
        <v>883.93200000000002</v>
      </c>
      <c r="L108" s="53">
        <v>6.8</v>
      </c>
      <c r="M108" s="52">
        <f t="shared" si="68"/>
        <v>1767864</v>
      </c>
      <c r="N108" s="54">
        <v>0.14000000000000001</v>
      </c>
      <c r="O108" s="55">
        <v>16.72</v>
      </c>
      <c r="P108" s="52">
        <f t="shared" si="69"/>
        <v>740072.56</v>
      </c>
      <c r="Q108" s="56">
        <f>P108/M108</f>
        <v>0.41862527886760498</v>
      </c>
      <c r="R108" s="52">
        <f t="shared" si="70"/>
        <v>265179.59999999998</v>
      </c>
      <c r="S108" s="56">
        <v>0.15</v>
      </c>
      <c r="T108" s="52">
        <f t="shared" si="71"/>
        <v>762611.84</v>
      </c>
      <c r="U108" s="56">
        <f t="shared" si="72"/>
        <v>0.431374721132395</v>
      </c>
      <c r="V108" s="52">
        <f t="shared" si="73"/>
        <v>53035.92</v>
      </c>
      <c r="W108" s="56">
        <v>0.03</v>
      </c>
      <c r="X108" s="55">
        <v>200</v>
      </c>
      <c r="Y108" s="52">
        <f t="shared" ref="Y108:Y144" si="76">X108*I108</f>
        <v>400000</v>
      </c>
      <c r="Z108" s="56">
        <f>Y108/M108</f>
        <v>0.226261748641298</v>
      </c>
      <c r="AA108" s="52">
        <f>6.2*I108*L108</f>
        <v>84320</v>
      </c>
      <c r="AB108" s="56">
        <f>AA108/M108</f>
        <v>4.7695976613585697E-2</v>
      </c>
      <c r="AC108" s="52">
        <f>M108*0.03</f>
        <v>53035.92</v>
      </c>
      <c r="AD108" s="57">
        <v>0.03</v>
      </c>
      <c r="AE108" s="52">
        <v>0</v>
      </c>
      <c r="AF108" s="57">
        <v>0</v>
      </c>
      <c r="AG108" s="52">
        <f t="shared" si="74"/>
        <v>172220</v>
      </c>
      <c r="AH108" s="54">
        <f t="shared" si="75"/>
        <v>9.7416995877510904E-2</v>
      </c>
    </row>
    <row r="109" spans="1:39" s="2" customFormat="1" ht="21" customHeight="1">
      <c r="A109" s="50" t="s">
        <v>32</v>
      </c>
      <c r="B109" s="59" t="s">
        <v>81</v>
      </c>
      <c r="C109" s="50">
        <v>8</v>
      </c>
      <c r="D109" s="50" t="s">
        <v>92</v>
      </c>
      <c r="E109" s="50" t="s">
        <v>75</v>
      </c>
      <c r="F109" s="50" t="s">
        <v>79</v>
      </c>
      <c r="G109" s="50"/>
      <c r="H109" s="50" t="s">
        <v>43</v>
      </c>
      <c r="I109" s="51">
        <v>1000</v>
      </c>
      <c r="J109" s="52">
        <v>139.99</v>
      </c>
      <c r="K109" s="52">
        <f>J109*L109</f>
        <v>951.93200000000002</v>
      </c>
      <c r="L109" s="53">
        <v>6.8</v>
      </c>
      <c r="M109" s="52">
        <f t="shared" si="68"/>
        <v>951932</v>
      </c>
      <c r="N109" s="54">
        <v>0.14000000000000001</v>
      </c>
      <c r="O109" s="55">
        <v>16.72</v>
      </c>
      <c r="P109" s="52">
        <f t="shared" si="69"/>
        <v>389756.28</v>
      </c>
      <c r="Q109" s="56">
        <f>P109/M109</f>
        <v>0.40943710265018901</v>
      </c>
      <c r="R109" s="52">
        <f t="shared" si="70"/>
        <v>142789.79999999999</v>
      </c>
      <c r="S109" s="56">
        <v>0.15</v>
      </c>
      <c r="T109" s="52">
        <f t="shared" si="71"/>
        <v>419385.92</v>
      </c>
      <c r="U109" s="56">
        <f t="shared" si="72"/>
        <v>0.44056289734981102</v>
      </c>
      <c r="V109" s="52">
        <f t="shared" si="73"/>
        <v>28557.96</v>
      </c>
      <c r="W109" s="56">
        <v>0.03</v>
      </c>
      <c r="X109" s="55">
        <v>225</v>
      </c>
      <c r="Y109" s="52">
        <f t="shared" si="76"/>
        <v>225000</v>
      </c>
      <c r="Z109" s="56">
        <f>Y109/M109</f>
        <v>0.23636142077375299</v>
      </c>
      <c r="AA109" s="52">
        <f>6.2*I109*L109</f>
        <v>42160</v>
      </c>
      <c r="AB109" s="56">
        <f>AA109/M109</f>
        <v>4.4288877776984099E-2</v>
      </c>
      <c r="AC109" s="52">
        <f>M109*0.03</f>
        <v>28557.96</v>
      </c>
      <c r="AD109" s="57">
        <v>0.03</v>
      </c>
      <c r="AE109" s="52">
        <v>0</v>
      </c>
      <c r="AF109" s="57">
        <v>0</v>
      </c>
      <c r="AG109" s="52">
        <f t="shared" si="74"/>
        <v>95110</v>
      </c>
      <c r="AH109" s="54">
        <f t="shared" si="75"/>
        <v>9.9912598799073896E-2</v>
      </c>
    </row>
    <row r="110" spans="1:39" s="1" customFormat="1" ht="21" hidden="1" customHeight="1">
      <c r="A110" s="49" t="s">
        <v>32</v>
      </c>
      <c r="B110" s="49" t="s">
        <v>84</v>
      </c>
      <c r="C110" s="59">
        <v>8</v>
      </c>
      <c r="D110" s="60" t="s">
        <v>85</v>
      </c>
      <c r="E110" s="60" t="s">
        <v>75</v>
      </c>
      <c r="F110" s="60" t="s">
        <v>36</v>
      </c>
      <c r="G110" s="60"/>
      <c r="H110" s="60" t="s">
        <v>70</v>
      </c>
      <c r="I110" s="51">
        <v>300</v>
      </c>
      <c r="J110" s="52">
        <v>33.99</v>
      </c>
      <c r="K110" s="52">
        <v>251.93</v>
      </c>
      <c r="L110" s="53">
        <v>6.8</v>
      </c>
      <c r="M110" s="52">
        <f t="shared" si="68"/>
        <v>75579</v>
      </c>
      <c r="N110" s="54">
        <v>0.04</v>
      </c>
      <c r="O110" s="55">
        <v>11.47</v>
      </c>
      <c r="P110" s="52">
        <f t="shared" si="69"/>
        <v>36822.9</v>
      </c>
      <c r="Q110" s="56">
        <v>0.32528440439804701</v>
      </c>
      <c r="R110" s="52">
        <f t="shared" si="70"/>
        <v>11336.85</v>
      </c>
      <c r="S110" s="56">
        <v>0.15</v>
      </c>
      <c r="T110" s="52">
        <f t="shared" si="71"/>
        <v>27419.25</v>
      </c>
      <c r="U110" s="56">
        <f t="shared" si="72"/>
        <v>0.36278926685984197</v>
      </c>
      <c r="V110" s="52">
        <f t="shared" si="73"/>
        <v>2267.37</v>
      </c>
      <c r="W110" s="56">
        <v>0.03</v>
      </c>
      <c r="X110" s="55">
        <v>45.7</v>
      </c>
      <c r="Y110" s="52">
        <f t="shared" si="76"/>
        <v>13710</v>
      </c>
      <c r="Z110" s="56">
        <v>0.26</v>
      </c>
      <c r="AA110" s="52">
        <f>0.4*I110*L110</f>
        <v>816</v>
      </c>
      <c r="AB110" s="56">
        <f>AA110/M110</f>
        <v>1.0796649863057201E-2</v>
      </c>
      <c r="AC110" s="52">
        <f>M110*0.03</f>
        <v>2267.37</v>
      </c>
      <c r="AD110" s="57">
        <v>0.03</v>
      </c>
      <c r="AE110" s="52">
        <v>0</v>
      </c>
      <c r="AF110" s="57">
        <v>0</v>
      </c>
      <c r="AG110" s="52">
        <f t="shared" si="74"/>
        <v>8358.5100000000093</v>
      </c>
      <c r="AH110" s="54">
        <f t="shared" si="75"/>
        <v>0.110593021871155</v>
      </c>
      <c r="AI110" s="13"/>
      <c r="AJ110" s="13"/>
      <c r="AK110" s="13"/>
      <c r="AL110" s="13"/>
      <c r="AM110" s="13"/>
    </row>
    <row r="111" spans="1:39" s="1" customFormat="1" ht="21" hidden="1" customHeight="1">
      <c r="A111" s="49" t="s">
        <v>32</v>
      </c>
      <c r="B111" s="49" t="s">
        <v>84</v>
      </c>
      <c r="C111" s="59">
        <v>8</v>
      </c>
      <c r="D111" s="60" t="s">
        <v>86</v>
      </c>
      <c r="E111" s="60" t="s">
        <v>75</v>
      </c>
      <c r="F111" s="60" t="s">
        <v>36</v>
      </c>
      <c r="G111" s="60"/>
      <c r="H111" s="60" t="s">
        <v>70</v>
      </c>
      <c r="I111" s="51">
        <v>150</v>
      </c>
      <c r="J111" s="52">
        <v>37.99</v>
      </c>
      <c r="K111" s="52">
        <v>251.93</v>
      </c>
      <c r="L111" s="53">
        <v>6.8</v>
      </c>
      <c r="M111" s="52">
        <f t="shared" si="68"/>
        <v>37789.5</v>
      </c>
      <c r="N111" s="54">
        <v>0.04</v>
      </c>
      <c r="O111" s="55">
        <v>11.47</v>
      </c>
      <c r="P111" s="52">
        <f t="shared" si="69"/>
        <v>19023.45</v>
      </c>
      <c r="Q111" s="56">
        <v>0.32528440439804701</v>
      </c>
      <c r="R111" s="52">
        <f t="shared" si="70"/>
        <v>5668.4250000000002</v>
      </c>
      <c r="S111" s="56">
        <v>0.15</v>
      </c>
      <c r="T111" s="52">
        <f t="shared" si="71"/>
        <v>13097.625</v>
      </c>
      <c r="U111" s="56">
        <f t="shared" si="72"/>
        <v>0.34659429206525599</v>
      </c>
      <c r="V111" s="52">
        <f t="shared" si="73"/>
        <v>1133.6849999999999</v>
      </c>
      <c r="W111" s="56">
        <v>0.03</v>
      </c>
      <c r="X111" s="55">
        <v>56.9</v>
      </c>
      <c r="Y111" s="52">
        <f t="shared" si="76"/>
        <v>8535</v>
      </c>
      <c r="Z111" s="56">
        <v>0.26</v>
      </c>
      <c r="AA111" s="52">
        <f>0.6*I111*L111</f>
        <v>612</v>
      </c>
      <c r="AB111" s="56">
        <f>AA111/M111</f>
        <v>1.6194974794585801E-2</v>
      </c>
      <c r="AC111" s="52">
        <f>M111*0.03</f>
        <v>1133.6849999999999</v>
      </c>
      <c r="AD111" s="57">
        <v>0.03</v>
      </c>
      <c r="AE111" s="52">
        <v>0</v>
      </c>
      <c r="AF111" s="57">
        <v>0</v>
      </c>
      <c r="AG111" s="52">
        <f t="shared" si="74"/>
        <v>1683.2550000000001</v>
      </c>
      <c r="AH111" s="54">
        <f t="shared" si="75"/>
        <v>4.4542928591275503E-2</v>
      </c>
      <c r="AI111" s="13"/>
      <c r="AJ111" s="13"/>
      <c r="AK111" s="13"/>
      <c r="AL111" s="13"/>
      <c r="AM111" s="13"/>
    </row>
    <row r="112" spans="1:39" s="1" customFormat="1" ht="21" hidden="1" customHeight="1">
      <c r="A112" s="29" t="s">
        <v>56</v>
      </c>
      <c r="B112" s="80" t="s">
        <v>57</v>
      </c>
      <c r="C112" s="94">
        <v>8</v>
      </c>
      <c r="D112" s="94" t="s">
        <v>58</v>
      </c>
      <c r="E112" s="94" t="s">
        <v>35</v>
      </c>
      <c r="F112" s="94" t="s">
        <v>36</v>
      </c>
      <c r="G112" s="94"/>
      <c r="H112" s="94" t="s">
        <v>43</v>
      </c>
      <c r="I112" s="65">
        <v>400</v>
      </c>
      <c r="J112" s="66">
        <v>89.99</v>
      </c>
      <c r="K112" s="66">
        <f t="shared" ref="K112:K135" si="77">J112*L112</f>
        <v>719.92</v>
      </c>
      <c r="L112" s="19">
        <v>8</v>
      </c>
      <c r="M112" s="66">
        <f t="shared" si="68"/>
        <v>287968</v>
      </c>
      <c r="N112" s="67">
        <v>0.08</v>
      </c>
      <c r="O112" s="68">
        <v>5.87</v>
      </c>
      <c r="P112" s="66">
        <f t="shared" si="69"/>
        <v>85016.639999999999</v>
      </c>
      <c r="Q112" s="23">
        <f t="shared" ref="Q112:Q135" si="78">P112/M112</f>
        <v>0.29522946994110499</v>
      </c>
      <c r="R112" s="66">
        <f t="shared" si="70"/>
        <v>23037.439999999999</v>
      </c>
      <c r="S112" s="23">
        <v>0.08</v>
      </c>
      <c r="T112" s="18">
        <f t="shared" si="71"/>
        <v>179913.92</v>
      </c>
      <c r="U112" s="22">
        <f t="shared" si="72"/>
        <v>0.62477053005889505</v>
      </c>
      <c r="V112" s="66">
        <f t="shared" si="73"/>
        <v>0</v>
      </c>
      <c r="W112" s="23">
        <v>0</v>
      </c>
      <c r="X112" s="68">
        <v>171.5</v>
      </c>
      <c r="Y112" s="34">
        <f t="shared" si="76"/>
        <v>68600</v>
      </c>
      <c r="Z112" s="23">
        <f t="shared" ref="Z112:Z129" si="79">Y112/M112</f>
        <v>0.23822091343482599</v>
      </c>
      <c r="AA112" s="66">
        <f>M112*AB112</f>
        <v>14398.4</v>
      </c>
      <c r="AB112" s="37">
        <v>0.05</v>
      </c>
      <c r="AC112" s="18">
        <f>M112*AD112</f>
        <v>8639.0400000000009</v>
      </c>
      <c r="AD112" s="69">
        <v>0.03</v>
      </c>
      <c r="AE112" s="66">
        <f>J112/1.19*0.19*I112*L112</f>
        <v>45978.084033613399</v>
      </c>
      <c r="AF112" s="69">
        <f>AE112/M112</f>
        <v>0.159663865546218</v>
      </c>
      <c r="AG112" s="66">
        <f t="shared" si="74"/>
        <v>42298.395966386597</v>
      </c>
      <c r="AH112" s="67">
        <f t="shared" si="75"/>
        <v>0.14688575107785101</v>
      </c>
      <c r="AI112" s="13"/>
      <c r="AJ112" s="13"/>
      <c r="AK112" s="13"/>
      <c r="AL112" s="13"/>
      <c r="AM112" s="13"/>
    </row>
    <row r="113" spans="1:39" s="1" customFormat="1" ht="21" hidden="1" customHeight="1">
      <c r="A113" s="29" t="s">
        <v>56</v>
      </c>
      <c r="B113" s="80" t="s">
        <v>57</v>
      </c>
      <c r="C113" s="94">
        <v>8</v>
      </c>
      <c r="D113" s="94" t="s">
        <v>71</v>
      </c>
      <c r="E113" s="94" t="s">
        <v>35</v>
      </c>
      <c r="F113" s="94" t="s">
        <v>36</v>
      </c>
      <c r="G113" s="94"/>
      <c r="H113" s="94" t="s">
        <v>43</v>
      </c>
      <c r="I113" s="65">
        <v>300</v>
      </c>
      <c r="J113" s="66">
        <v>79.989999999999995</v>
      </c>
      <c r="K113" s="66">
        <f t="shared" si="77"/>
        <v>639.91999999999996</v>
      </c>
      <c r="L113" s="19">
        <v>8</v>
      </c>
      <c r="M113" s="66">
        <f t="shared" si="68"/>
        <v>191976</v>
      </c>
      <c r="N113" s="67">
        <v>0.15</v>
      </c>
      <c r="O113" s="68">
        <v>8.6</v>
      </c>
      <c r="P113" s="66">
        <f t="shared" si="69"/>
        <v>78232.800000000003</v>
      </c>
      <c r="Q113" s="23">
        <f t="shared" si="78"/>
        <v>0.40751343917989702</v>
      </c>
      <c r="R113" s="66">
        <f t="shared" si="70"/>
        <v>15358.08</v>
      </c>
      <c r="S113" s="23">
        <v>0.08</v>
      </c>
      <c r="T113" s="18">
        <f t="shared" si="71"/>
        <v>98385.12</v>
      </c>
      <c r="U113" s="22">
        <f t="shared" si="72"/>
        <v>0.51248656082010302</v>
      </c>
      <c r="V113" s="66">
        <f t="shared" si="73"/>
        <v>0</v>
      </c>
      <c r="W113" s="23">
        <v>0</v>
      </c>
      <c r="X113" s="68">
        <v>142</v>
      </c>
      <c r="Y113" s="34">
        <f t="shared" si="76"/>
        <v>42600</v>
      </c>
      <c r="Z113" s="23">
        <f t="shared" si="79"/>
        <v>0.22190273784223</v>
      </c>
      <c r="AA113" s="66">
        <f>M113*AB113</f>
        <v>9598.7999999999993</v>
      </c>
      <c r="AB113" s="37">
        <v>0.05</v>
      </c>
      <c r="AC113" s="18">
        <f t="shared" ref="AC113:AC118" si="80">M113*0.04</f>
        <v>7679.04</v>
      </c>
      <c r="AD113" s="69">
        <v>0.03</v>
      </c>
      <c r="AE113" s="66">
        <f>J113/1.19*0.19*I113*L113</f>
        <v>30651.6302521008</v>
      </c>
      <c r="AF113" s="69">
        <f>AE113/M113</f>
        <v>0.159663865546218</v>
      </c>
      <c r="AG113" s="66">
        <f t="shared" si="74"/>
        <v>7855.6497478992096</v>
      </c>
      <c r="AH113" s="67">
        <f t="shared" si="75"/>
        <v>4.0919957431653997E-2</v>
      </c>
      <c r="AI113" s="13"/>
      <c r="AJ113" s="13"/>
      <c r="AK113" s="13"/>
      <c r="AL113" s="13"/>
      <c r="AM113" s="13"/>
    </row>
    <row r="114" spans="1:39" s="2" customFormat="1" ht="21" hidden="1" customHeight="1">
      <c r="A114" s="29" t="s">
        <v>56</v>
      </c>
      <c r="B114" s="80" t="s">
        <v>64</v>
      </c>
      <c r="C114" s="94">
        <v>8</v>
      </c>
      <c r="D114" s="94" t="s">
        <v>66</v>
      </c>
      <c r="E114" s="94" t="s">
        <v>35</v>
      </c>
      <c r="F114" s="94" t="s">
        <v>36</v>
      </c>
      <c r="G114" s="94"/>
      <c r="H114" s="94" t="s">
        <v>43</v>
      </c>
      <c r="I114" s="65">
        <v>300</v>
      </c>
      <c r="J114" s="66">
        <v>99.99</v>
      </c>
      <c r="K114" s="66">
        <f t="shared" si="77"/>
        <v>919.90800000000002</v>
      </c>
      <c r="L114" s="19">
        <v>9.1999999999999993</v>
      </c>
      <c r="M114" s="66">
        <f t="shared" si="68"/>
        <v>275972.40000000002</v>
      </c>
      <c r="N114" s="67">
        <v>0.2</v>
      </c>
      <c r="O114" s="68">
        <v>6.45</v>
      </c>
      <c r="P114" s="66">
        <f t="shared" si="69"/>
        <v>114392.34</v>
      </c>
      <c r="Q114" s="23">
        <f t="shared" si="78"/>
        <v>0.41450645064506397</v>
      </c>
      <c r="R114" s="66">
        <f t="shared" si="70"/>
        <v>22077.792000000001</v>
      </c>
      <c r="S114" s="23">
        <v>0.08</v>
      </c>
      <c r="T114" s="18">
        <f t="shared" si="71"/>
        <v>139502.26800000001</v>
      </c>
      <c r="U114" s="22">
        <f t="shared" si="72"/>
        <v>0.50549354935493596</v>
      </c>
      <c r="V114" s="66">
        <f t="shared" si="73"/>
        <v>0</v>
      </c>
      <c r="W114" s="23">
        <v>0</v>
      </c>
      <c r="X114" s="68">
        <v>170.5</v>
      </c>
      <c r="Y114" s="34">
        <f t="shared" si="76"/>
        <v>51150</v>
      </c>
      <c r="Z114" s="23">
        <f t="shared" si="79"/>
        <v>0.18534462141866401</v>
      </c>
      <c r="AA114" s="66">
        <f>10.13*I114*L114</f>
        <v>27958.799999999999</v>
      </c>
      <c r="AB114" s="37">
        <v>0.05</v>
      </c>
      <c r="AC114" s="18">
        <f t="shared" si="80"/>
        <v>11038.896000000001</v>
      </c>
      <c r="AD114" s="69">
        <v>0.03</v>
      </c>
      <c r="AE114" s="66">
        <f>(J114*(20%/(1+20%)))*I114*L114</f>
        <v>45995.4</v>
      </c>
      <c r="AF114" s="69">
        <f>AE114/M114</f>
        <v>0.16666666666666699</v>
      </c>
      <c r="AG114" s="66">
        <f t="shared" si="74"/>
        <v>3359.17200000004</v>
      </c>
      <c r="AH114" s="67">
        <f t="shared" si="75"/>
        <v>1.2172130256504E-2</v>
      </c>
    </row>
    <row r="115" spans="1:39" s="2" customFormat="1" ht="21" hidden="1" customHeight="1">
      <c r="A115" s="29" t="s">
        <v>56</v>
      </c>
      <c r="B115" s="80" t="s">
        <v>72</v>
      </c>
      <c r="C115" s="94">
        <v>8</v>
      </c>
      <c r="D115" s="94" t="s">
        <v>73</v>
      </c>
      <c r="E115" s="94" t="s">
        <v>35</v>
      </c>
      <c r="F115" s="94" t="s">
        <v>36</v>
      </c>
      <c r="G115" s="94"/>
      <c r="H115" s="94" t="s">
        <v>43</v>
      </c>
      <c r="I115" s="65">
        <v>300</v>
      </c>
      <c r="J115" s="66">
        <v>59.99</v>
      </c>
      <c r="K115" s="66">
        <f t="shared" si="77"/>
        <v>551.90800000000002</v>
      </c>
      <c r="L115" s="19">
        <v>9.1999999999999993</v>
      </c>
      <c r="M115" s="66">
        <f t="shared" si="68"/>
        <v>165572.4</v>
      </c>
      <c r="N115" s="67">
        <v>7.0000000000000007E-2</v>
      </c>
      <c r="O115" s="68">
        <v>6.11</v>
      </c>
      <c r="P115" s="66">
        <f t="shared" si="69"/>
        <v>53289.527999999998</v>
      </c>
      <c r="Q115" s="23">
        <f t="shared" si="78"/>
        <v>0.321850308384731</v>
      </c>
      <c r="R115" s="66">
        <f t="shared" si="70"/>
        <v>13245.791999999999</v>
      </c>
      <c r="S115" s="23">
        <v>0.08</v>
      </c>
      <c r="T115" s="18">
        <f t="shared" si="71"/>
        <v>99037.08</v>
      </c>
      <c r="U115" s="22">
        <f t="shared" si="72"/>
        <v>0.59814969161526899</v>
      </c>
      <c r="V115" s="66">
        <f t="shared" si="73"/>
        <v>0</v>
      </c>
      <c r="W115" s="23">
        <v>0</v>
      </c>
      <c r="X115" s="68">
        <v>142</v>
      </c>
      <c r="Y115" s="34">
        <f t="shared" si="76"/>
        <v>42600</v>
      </c>
      <c r="Z115" s="23">
        <f t="shared" si="79"/>
        <v>0.25728925835465299</v>
      </c>
      <c r="AA115" s="66">
        <f>6.11*I115*L115</f>
        <v>16863.599999999999</v>
      </c>
      <c r="AB115" s="37">
        <v>0.05</v>
      </c>
      <c r="AC115" s="18">
        <f t="shared" si="80"/>
        <v>6622.8959999999997</v>
      </c>
      <c r="AD115" s="69">
        <v>0.03</v>
      </c>
      <c r="AE115" s="66">
        <f>(M115-M115*0.2)*0.2</f>
        <v>26491.583999999999</v>
      </c>
      <c r="AF115" s="69">
        <f>AE115/M115</f>
        <v>0.16</v>
      </c>
      <c r="AG115" s="66">
        <f t="shared" si="74"/>
        <v>6459</v>
      </c>
      <c r="AH115" s="67">
        <f t="shared" si="75"/>
        <v>3.9010124875885101E-2</v>
      </c>
    </row>
    <row r="116" spans="1:39" s="1" customFormat="1" ht="21" hidden="1" customHeight="1">
      <c r="A116" s="29" t="s">
        <v>56</v>
      </c>
      <c r="B116" s="80" t="s">
        <v>59</v>
      </c>
      <c r="C116" s="94">
        <v>8</v>
      </c>
      <c r="D116" s="94" t="s">
        <v>60</v>
      </c>
      <c r="E116" s="94" t="s">
        <v>35</v>
      </c>
      <c r="F116" s="94" t="s">
        <v>36</v>
      </c>
      <c r="G116" s="94"/>
      <c r="H116" s="94" t="s">
        <v>43</v>
      </c>
      <c r="I116" s="65">
        <v>4000</v>
      </c>
      <c r="J116" s="66">
        <v>69.989999999999995</v>
      </c>
      <c r="K116" s="66">
        <f t="shared" si="77"/>
        <v>475.93200000000002</v>
      </c>
      <c r="L116" s="19">
        <v>6.8</v>
      </c>
      <c r="M116" s="66">
        <f t="shared" si="68"/>
        <v>1903728</v>
      </c>
      <c r="N116" s="67">
        <v>0.08</v>
      </c>
      <c r="O116" s="68">
        <v>11.04</v>
      </c>
      <c r="P116" s="66">
        <f t="shared" si="69"/>
        <v>738145.44</v>
      </c>
      <c r="Q116" s="23">
        <f t="shared" si="78"/>
        <v>0.38773681954564898</v>
      </c>
      <c r="R116" s="66">
        <f t="shared" si="70"/>
        <v>190372.8</v>
      </c>
      <c r="S116" s="23">
        <v>0.1</v>
      </c>
      <c r="T116" s="18">
        <f t="shared" si="71"/>
        <v>975209.76</v>
      </c>
      <c r="U116" s="22">
        <f t="shared" si="72"/>
        <v>0.51226318045435104</v>
      </c>
      <c r="V116" s="66">
        <f t="shared" si="73"/>
        <v>57111.839999999997</v>
      </c>
      <c r="W116" s="23">
        <v>0.03</v>
      </c>
      <c r="X116" s="68">
        <v>142</v>
      </c>
      <c r="Y116" s="34">
        <f t="shared" si="76"/>
        <v>568000</v>
      </c>
      <c r="Z116" s="23">
        <f t="shared" si="79"/>
        <v>0.29836195086693101</v>
      </c>
      <c r="AA116" s="66">
        <f t="shared" ref="AA116:AA121" si="81">M116*AB116</f>
        <v>114223.67999999999</v>
      </c>
      <c r="AB116" s="37">
        <v>0.06</v>
      </c>
      <c r="AC116" s="18">
        <f t="shared" si="80"/>
        <v>76149.119999999995</v>
      </c>
      <c r="AD116" s="69">
        <v>0.02</v>
      </c>
      <c r="AE116" s="66">
        <v>0</v>
      </c>
      <c r="AF116" s="69">
        <v>0</v>
      </c>
      <c r="AG116" s="66">
        <f t="shared" si="74"/>
        <v>159725.12</v>
      </c>
      <c r="AH116" s="67">
        <f t="shared" si="75"/>
        <v>8.3901229587420106E-2</v>
      </c>
      <c r="AI116" s="13"/>
      <c r="AJ116" s="13"/>
      <c r="AK116" s="13"/>
      <c r="AL116" s="13"/>
      <c r="AM116" s="13"/>
    </row>
    <row r="117" spans="1:39" s="1" customFormat="1" ht="21" hidden="1" customHeight="1">
      <c r="A117" s="29" t="s">
        <v>56</v>
      </c>
      <c r="B117" s="80" t="s">
        <v>59</v>
      </c>
      <c r="C117" s="94">
        <v>8</v>
      </c>
      <c r="D117" s="94" t="s">
        <v>61</v>
      </c>
      <c r="E117" s="94" t="s">
        <v>35</v>
      </c>
      <c r="F117" s="94" t="s">
        <v>36</v>
      </c>
      <c r="G117" s="94"/>
      <c r="H117" s="94" t="s">
        <v>43</v>
      </c>
      <c r="I117" s="65">
        <v>500</v>
      </c>
      <c r="J117" s="66">
        <v>79.989999999999995</v>
      </c>
      <c r="K117" s="66">
        <f t="shared" si="77"/>
        <v>543.93200000000002</v>
      </c>
      <c r="L117" s="19">
        <v>6.8</v>
      </c>
      <c r="M117" s="66">
        <f t="shared" si="68"/>
        <v>271966</v>
      </c>
      <c r="N117" s="67">
        <v>0.08</v>
      </c>
      <c r="O117" s="68">
        <v>15.79</v>
      </c>
      <c r="P117" s="66">
        <f t="shared" si="69"/>
        <v>116238.18</v>
      </c>
      <c r="Q117" s="23">
        <f t="shared" si="78"/>
        <v>0.42739967495936998</v>
      </c>
      <c r="R117" s="66">
        <f t="shared" si="70"/>
        <v>27196.6</v>
      </c>
      <c r="S117" s="23">
        <v>0.1</v>
      </c>
      <c r="T117" s="18">
        <f t="shared" si="71"/>
        <v>128531.22</v>
      </c>
      <c r="U117" s="22">
        <f t="shared" si="72"/>
        <v>0.47260032504062999</v>
      </c>
      <c r="V117" s="66">
        <f t="shared" si="73"/>
        <v>8158.98</v>
      </c>
      <c r="W117" s="23">
        <v>0.03</v>
      </c>
      <c r="X117" s="68">
        <v>170</v>
      </c>
      <c r="Y117" s="34">
        <f t="shared" si="76"/>
        <v>85000</v>
      </c>
      <c r="Z117" s="23">
        <f t="shared" si="79"/>
        <v>0.31253906738342302</v>
      </c>
      <c r="AA117" s="66">
        <f t="shared" si="81"/>
        <v>16317.96</v>
      </c>
      <c r="AB117" s="37">
        <v>0.06</v>
      </c>
      <c r="AC117" s="18">
        <f t="shared" si="80"/>
        <v>10878.64</v>
      </c>
      <c r="AD117" s="69">
        <v>0.02</v>
      </c>
      <c r="AE117" s="66">
        <v>0</v>
      </c>
      <c r="AF117" s="69">
        <v>0</v>
      </c>
      <c r="AG117" s="66">
        <f t="shared" si="74"/>
        <v>8175.6400000000103</v>
      </c>
      <c r="AH117" s="67">
        <f t="shared" si="75"/>
        <v>3.0061257657207199E-2</v>
      </c>
      <c r="AI117" s="13"/>
      <c r="AJ117" s="13"/>
      <c r="AK117" s="13"/>
      <c r="AL117" s="13"/>
      <c r="AM117" s="13"/>
    </row>
    <row r="118" spans="1:39" s="1" customFormat="1" ht="21" hidden="1" customHeight="1">
      <c r="A118" s="29" t="s">
        <v>56</v>
      </c>
      <c r="B118" s="80" t="s">
        <v>59</v>
      </c>
      <c r="C118" s="94">
        <v>8</v>
      </c>
      <c r="D118" s="94" t="s">
        <v>62</v>
      </c>
      <c r="E118" s="94" t="s">
        <v>35</v>
      </c>
      <c r="F118" s="94" t="s">
        <v>36</v>
      </c>
      <c r="G118" s="94"/>
      <c r="H118" s="94" t="s">
        <v>43</v>
      </c>
      <c r="I118" s="65">
        <v>3500</v>
      </c>
      <c r="J118" s="66">
        <v>79.989999999999995</v>
      </c>
      <c r="K118" s="66">
        <f t="shared" si="77"/>
        <v>543.93200000000002</v>
      </c>
      <c r="L118" s="19">
        <v>6.8</v>
      </c>
      <c r="M118" s="66">
        <f t="shared" si="68"/>
        <v>1903762</v>
      </c>
      <c r="N118" s="67">
        <v>0.08</v>
      </c>
      <c r="O118" s="68">
        <v>15.79</v>
      </c>
      <c r="P118" s="66">
        <f t="shared" si="69"/>
        <v>813667.26</v>
      </c>
      <c r="Q118" s="23">
        <f t="shared" si="78"/>
        <v>0.42739967495936998</v>
      </c>
      <c r="R118" s="66">
        <f t="shared" si="70"/>
        <v>190376.2</v>
      </c>
      <c r="S118" s="23">
        <v>0.1</v>
      </c>
      <c r="T118" s="18">
        <f t="shared" si="71"/>
        <v>899718.54</v>
      </c>
      <c r="U118" s="22">
        <f t="shared" si="72"/>
        <v>0.47260032504062999</v>
      </c>
      <c r="V118" s="66">
        <f t="shared" si="73"/>
        <v>57112.86</v>
      </c>
      <c r="W118" s="23">
        <v>0.03</v>
      </c>
      <c r="X118" s="68">
        <v>170</v>
      </c>
      <c r="Y118" s="34">
        <f t="shared" si="76"/>
        <v>595000</v>
      </c>
      <c r="Z118" s="23">
        <f t="shared" si="79"/>
        <v>0.31253906738342302</v>
      </c>
      <c r="AA118" s="66">
        <f t="shared" si="81"/>
        <v>114225.72</v>
      </c>
      <c r="AB118" s="37">
        <v>0.06</v>
      </c>
      <c r="AC118" s="18">
        <f t="shared" si="80"/>
        <v>76150.48</v>
      </c>
      <c r="AD118" s="69">
        <v>0.02</v>
      </c>
      <c r="AE118" s="66">
        <v>0</v>
      </c>
      <c r="AF118" s="69">
        <v>0</v>
      </c>
      <c r="AG118" s="66">
        <f t="shared" si="74"/>
        <v>57229.480000000302</v>
      </c>
      <c r="AH118" s="67">
        <f t="shared" si="75"/>
        <v>3.00612576572073E-2</v>
      </c>
      <c r="AI118" s="13"/>
      <c r="AJ118" s="13"/>
      <c r="AK118" s="13"/>
      <c r="AL118" s="13"/>
      <c r="AM118" s="13"/>
    </row>
    <row r="119" spans="1:39" s="1" customFormat="1" ht="21" hidden="1" customHeight="1">
      <c r="A119" s="29" t="s">
        <v>56</v>
      </c>
      <c r="B119" s="80" t="s">
        <v>59</v>
      </c>
      <c r="C119" s="94">
        <v>8</v>
      </c>
      <c r="D119" s="94" t="s">
        <v>63</v>
      </c>
      <c r="E119" s="94" t="s">
        <v>35</v>
      </c>
      <c r="F119" s="94" t="s">
        <v>36</v>
      </c>
      <c r="G119" s="94"/>
      <c r="H119" s="94" t="s">
        <v>43</v>
      </c>
      <c r="I119" s="65">
        <v>600</v>
      </c>
      <c r="J119" s="66">
        <v>79.989999999999995</v>
      </c>
      <c r="K119" s="66">
        <f t="shared" si="77"/>
        <v>543.93200000000002</v>
      </c>
      <c r="L119" s="19">
        <v>6.8</v>
      </c>
      <c r="M119" s="66">
        <f t="shared" si="68"/>
        <v>326359.2</v>
      </c>
      <c r="N119" s="67">
        <v>0.08</v>
      </c>
      <c r="O119" s="68">
        <v>14.89</v>
      </c>
      <c r="P119" s="66">
        <f t="shared" si="69"/>
        <v>135813.81599999999</v>
      </c>
      <c r="Q119" s="23">
        <f t="shared" si="78"/>
        <v>0.41614826853356701</v>
      </c>
      <c r="R119" s="66">
        <f t="shared" si="70"/>
        <v>32635.919999999998</v>
      </c>
      <c r="S119" s="23">
        <v>0.1</v>
      </c>
      <c r="T119" s="18">
        <f t="shared" si="71"/>
        <v>157909.46400000001</v>
      </c>
      <c r="U119" s="22">
        <f t="shared" si="72"/>
        <v>0.48385173146643301</v>
      </c>
      <c r="V119" s="66">
        <f t="shared" si="73"/>
        <v>9790.7759999999998</v>
      </c>
      <c r="W119" s="23">
        <v>0.03</v>
      </c>
      <c r="X119" s="68">
        <v>155</v>
      </c>
      <c r="Y119" s="34">
        <f t="shared" si="76"/>
        <v>93000</v>
      </c>
      <c r="Z119" s="23">
        <f t="shared" si="79"/>
        <v>0.28496209084959201</v>
      </c>
      <c r="AA119" s="66">
        <f t="shared" si="81"/>
        <v>19581.552</v>
      </c>
      <c r="AB119" s="37">
        <v>0.06</v>
      </c>
      <c r="AC119" s="18">
        <f>M119*AD119</f>
        <v>9790.7759999999998</v>
      </c>
      <c r="AD119" s="69">
        <v>0.03</v>
      </c>
      <c r="AE119" s="66">
        <v>0</v>
      </c>
      <c r="AF119" s="69">
        <v>0</v>
      </c>
      <c r="AG119" s="66">
        <f t="shared" si="74"/>
        <v>25746.36</v>
      </c>
      <c r="AH119" s="67">
        <f t="shared" si="75"/>
        <v>7.8889640616841797E-2</v>
      </c>
      <c r="AI119" s="13"/>
      <c r="AJ119" s="13"/>
      <c r="AK119" s="13"/>
      <c r="AL119" s="13"/>
      <c r="AM119" s="13"/>
    </row>
    <row r="120" spans="1:39" s="2" customFormat="1" ht="21" hidden="1" customHeight="1">
      <c r="A120" s="29" t="s">
        <v>56</v>
      </c>
      <c r="B120" s="80" t="s">
        <v>72</v>
      </c>
      <c r="C120" s="94">
        <v>8</v>
      </c>
      <c r="D120" s="94" t="s">
        <v>74</v>
      </c>
      <c r="E120" s="94" t="s">
        <v>75</v>
      </c>
      <c r="F120" s="94" t="s">
        <v>36</v>
      </c>
      <c r="G120" s="94"/>
      <c r="H120" s="94" t="s">
        <v>43</v>
      </c>
      <c r="I120" s="65">
        <v>1200</v>
      </c>
      <c r="J120" s="66">
        <v>299.99</v>
      </c>
      <c r="K120" s="66">
        <f t="shared" si="77"/>
        <v>2039.932</v>
      </c>
      <c r="L120" s="19">
        <v>6.8</v>
      </c>
      <c r="M120" s="66">
        <f t="shared" si="68"/>
        <v>2447918.4</v>
      </c>
      <c r="N120" s="67">
        <v>0.2</v>
      </c>
      <c r="O120" s="68">
        <v>22.92</v>
      </c>
      <c r="P120" s="66">
        <f>(J120*0.15*I120+O120*I120)*L120+J120*I120*N120</f>
        <v>626212.56000000006</v>
      </c>
      <c r="Q120" s="23">
        <f t="shared" si="78"/>
        <v>0.25581431145744099</v>
      </c>
      <c r="R120" s="66">
        <f t="shared" si="70"/>
        <v>440625.31199999998</v>
      </c>
      <c r="S120" s="23">
        <v>0.18</v>
      </c>
      <c r="T120" s="18">
        <f t="shared" si="71"/>
        <v>1381080.5279999999</v>
      </c>
      <c r="U120" s="22">
        <f t="shared" si="72"/>
        <v>0.56418568854255902</v>
      </c>
      <c r="V120" s="66">
        <f t="shared" si="73"/>
        <v>244791.84</v>
      </c>
      <c r="W120" s="23">
        <v>0.1</v>
      </c>
      <c r="X120" s="68">
        <v>605</v>
      </c>
      <c r="Y120" s="34">
        <f t="shared" si="76"/>
        <v>726000</v>
      </c>
      <c r="Z120" s="23">
        <f t="shared" si="79"/>
        <v>0.29657851340142699</v>
      </c>
      <c r="AA120" s="66">
        <f t="shared" si="81"/>
        <v>146875.10399999999</v>
      </c>
      <c r="AB120" s="37">
        <v>0.06</v>
      </c>
      <c r="AC120" s="18">
        <f>M120*0.04</f>
        <v>97916.736000000004</v>
      </c>
      <c r="AD120" s="69">
        <v>0.03</v>
      </c>
      <c r="AE120" s="66">
        <v>0</v>
      </c>
      <c r="AF120" s="69">
        <v>0</v>
      </c>
      <c r="AG120" s="66">
        <f t="shared" si="74"/>
        <v>165496.848</v>
      </c>
      <c r="AH120" s="67">
        <f t="shared" si="75"/>
        <v>6.7607175141132098E-2</v>
      </c>
    </row>
    <row r="121" spans="1:39" s="2" customFormat="1" ht="21" hidden="1" customHeight="1">
      <c r="A121" s="29" t="s">
        <v>56</v>
      </c>
      <c r="B121" s="80" t="s">
        <v>72</v>
      </c>
      <c r="C121" s="94">
        <v>8</v>
      </c>
      <c r="D121" s="94" t="s">
        <v>93</v>
      </c>
      <c r="E121" s="94" t="s">
        <v>75</v>
      </c>
      <c r="F121" s="94" t="s">
        <v>79</v>
      </c>
      <c r="G121" s="94"/>
      <c r="H121" s="94" t="s">
        <v>43</v>
      </c>
      <c r="I121" s="65">
        <v>800</v>
      </c>
      <c r="J121" s="66">
        <v>299.99</v>
      </c>
      <c r="K121" s="66">
        <f t="shared" si="77"/>
        <v>2039.932</v>
      </c>
      <c r="L121" s="19">
        <v>6.8</v>
      </c>
      <c r="M121" s="66">
        <f t="shared" si="68"/>
        <v>1631945.6</v>
      </c>
      <c r="N121" s="67">
        <v>0.2</v>
      </c>
      <c r="O121" s="68">
        <v>22.92</v>
      </c>
      <c r="P121" s="66">
        <f>(J121*0.15*I121+O121*I121)*L121+J121*I121*N121</f>
        <v>417475.04</v>
      </c>
      <c r="Q121" s="23">
        <f t="shared" si="78"/>
        <v>0.25581431145744099</v>
      </c>
      <c r="R121" s="66">
        <f t="shared" si="70"/>
        <v>293750.20799999998</v>
      </c>
      <c r="S121" s="23">
        <v>0.18</v>
      </c>
      <c r="T121" s="18">
        <f t="shared" si="71"/>
        <v>920720.35199999996</v>
      </c>
      <c r="U121" s="22">
        <f t="shared" si="72"/>
        <v>0.56418568854255902</v>
      </c>
      <c r="V121" s="66">
        <f t="shared" si="73"/>
        <v>244791.84</v>
      </c>
      <c r="W121" s="23">
        <v>0.15</v>
      </c>
      <c r="X121" s="68">
        <v>605</v>
      </c>
      <c r="Y121" s="34">
        <f t="shared" si="76"/>
        <v>484000</v>
      </c>
      <c r="Z121" s="23">
        <f t="shared" si="79"/>
        <v>0.29657851340142699</v>
      </c>
      <c r="AA121" s="66">
        <f t="shared" si="81"/>
        <v>97916.736000000004</v>
      </c>
      <c r="AB121" s="37">
        <v>0.06</v>
      </c>
      <c r="AC121" s="18">
        <f>M121*0.04</f>
        <v>65277.824000000001</v>
      </c>
      <c r="AD121" s="69">
        <v>0.02</v>
      </c>
      <c r="AE121" s="66">
        <v>0</v>
      </c>
      <c r="AF121" s="69">
        <v>0</v>
      </c>
      <c r="AG121" s="66">
        <f t="shared" si="74"/>
        <v>28733.952000000099</v>
      </c>
      <c r="AH121" s="67">
        <f t="shared" si="75"/>
        <v>1.7607175141132199E-2</v>
      </c>
    </row>
    <row r="122" spans="1:39" s="1" customFormat="1" ht="21" hidden="1" customHeight="1">
      <c r="A122" s="92" t="s">
        <v>32</v>
      </c>
      <c r="B122" s="92" t="s">
        <v>33</v>
      </c>
      <c r="C122" s="84">
        <v>9</v>
      </c>
      <c r="D122" s="93" t="s">
        <v>87</v>
      </c>
      <c r="E122" s="93" t="s">
        <v>35</v>
      </c>
      <c r="F122" s="93" t="s">
        <v>36</v>
      </c>
      <c r="G122" s="93" t="s">
        <v>76</v>
      </c>
      <c r="H122" s="93" t="s">
        <v>37</v>
      </c>
      <c r="I122" s="85">
        <v>1200</v>
      </c>
      <c r="J122" s="86">
        <v>79.989999999999995</v>
      </c>
      <c r="K122" s="86">
        <f t="shared" si="77"/>
        <v>543.93200000000002</v>
      </c>
      <c r="L122" s="87">
        <v>6.8</v>
      </c>
      <c r="M122" s="86">
        <f t="shared" si="68"/>
        <v>652718.4</v>
      </c>
      <c r="N122" s="88">
        <v>0.15</v>
      </c>
      <c r="O122" s="89">
        <v>9.8000000000000007</v>
      </c>
      <c r="P122" s="86">
        <f t="shared" ref="P122:P141" si="82">(J122*0.15*I122+O122*I122)*L122+M122*N122</f>
        <v>275783.52</v>
      </c>
      <c r="Q122" s="90">
        <f t="shared" si="78"/>
        <v>0.42251531441430201</v>
      </c>
      <c r="R122" s="86">
        <f t="shared" si="70"/>
        <v>117489.31200000001</v>
      </c>
      <c r="S122" s="90">
        <v>0.18</v>
      </c>
      <c r="T122" s="86">
        <f t="shared" si="71"/>
        <v>259445.568</v>
      </c>
      <c r="U122" s="90">
        <f t="shared" si="72"/>
        <v>0.39748468558569799</v>
      </c>
      <c r="V122" s="89">
        <f t="shared" si="73"/>
        <v>19581.552</v>
      </c>
      <c r="W122" s="90">
        <v>0.03</v>
      </c>
      <c r="X122" s="89">
        <v>150</v>
      </c>
      <c r="Y122" s="86">
        <f t="shared" si="76"/>
        <v>180000</v>
      </c>
      <c r="Z122" s="90">
        <f t="shared" si="79"/>
        <v>0.27576976533831399</v>
      </c>
      <c r="AA122" s="95">
        <f>2.8*I122*L122</f>
        <v>22848</v>
      </c>
      <c r="AB122" s="88">
        <f t="shared" ref="AB122:AB127" si="83">AA122/M122</f>
        <v>3.5004375546943398E-2</v>
      </c>
      <c r="AC122" s="86">
        <f>M122*AD122</f>
        <v>19581.552</v>
      </c>
      <c r="AD122" s="91">
        <v>0.03</v>
      </c>
      <c r="AE122" s="86">
        <v>0</v>
      </c>
      <c r="AF122" s="91">
        <v>0</v>
      </c>
      <c r="AG122" s="86">
        <f t="shared" si="74"/>
        <v>17434.464000000102</v>
      </c>
      <c r="AH122" s="88">
        <f t="shared" si="75"/>
        <v>2.6710544700440601E-2</v>
      </c>
    </row>
    <row r="123" spans="1:39" s="1" customFormat="1" ht="21" hidden="1" customHeight="1">
      <c r="A123" s="92" t="s">
        <v>32</v>
      </c>
      <c r="B123" s="92" t="s">
        <v>33</v>
      </c>
      <c r="C123" s="84">
        <v>9</v>
      </c>
      <c r="D123" s="93" t="s">
        <v>94</v>
      </c>
      <c r="E123" s="93" t="s">
        <v>35</v>
      </c>
      <c r="F123" s="16" t="s">
        <v>36</v>
      </c>
      <c r="G123" s="93" t="s">
        <v>76</v>
      </c>
      <c r="H123" s="93" t="s">
        <v>37</v>
      </c>
      <c r="I123" s="85">
        <v>900</v>
      </c>
      <c r="J123" s="86">
        <v>59.99</v>
      </c>
      <c r="K123" s="86">
        <f t="shared" si="77"/>
        <v>407.93200000000002</v>
      </c>
      <c r="L123" s="87">
        <v>6.8</v>
      </c>
      <c r="M123" s="86">
        <f t="shared" si="68"/>
        <v>367138.8</v>
      </c>
      <c r="N123" s="88">
        <v>0.12</v>
      </c>
      <c r="O123" s="89">
        <v>9.8000000000000007</v>
      </c>
      <c r="P123" s="86">
        <f t="shared" si="82"/>
        <v>159103.476</v>
      </c>
      <c r="Q123" s="90">
        <f t="shared" si="78"/>
        <v>0.433360560093349</v>
      </c>
      <c r="R123" s="86">
        <f t="shared" si="70"/>
        <v>73427.759999999995</v>
      </c>
      <c r="S123" s="90">
        <v>0.2</v>
      </c>
      <c r="T123" s="86">
        <f t="shared" si="71"/>
        <v>134607.56400000001</v>
      </c>
      <c r="U123" s="90">
        <f t="shared" si="72"/>
        <v>0.36663943990665099</v>
      </c>
      <c r="V123" s="89">
        <f t="shared" si="73"/>
        <v>11014.164000000001</v>
      </c>
      <c r="W123" s="90">
        <v>0.03</v>
      </c>
      <c r="X123" s="89">
        <v>95</v>
      </c>
      <c r="Y123" s="86">
        <f t="shared" si="76"/>
        <v>85500</v>
      </c>
      <c r="Z123" s="90">
        <f t="shared" si="79"/>
        <v>0.23288195091338801</v>
      </c>
      <c r="AA123" s="95">
        <f>2.67*I123*L123</f>
        <v>16340.4</v>
      </c>
      <c r="AB123" s="90">
        <f t="shared" si="83"/>
        <v>4.4507417902983799E-2</v>
      </c>
      <c r="AC123" s="86">
        <f>M123*AD123</f>
        <v>11014.164000000001</v>
      </c>
      <c r="AD123" s="91">
        <v>0.03</v>
      </c>
      <c r="AE123" s="86">
        <v>0</v>
      </c>
      <c r="AF123" s="91">
        <v>0</v>
      </c>
      <c r="AG123" s="86">
        <f t="shared" si="74"/>
        <v>10738.835999999999</v>
      </c>
      <c r="AH123" s="88">
        <f t="shared" si="75"/>
        <v>2.92500710902798E-2</v>
      </c>
    </row>
    <row r="124" spans="1:39" s="2" customFormat="1" ht="21" hidden="1" customHeight="1">
      <c r="A124" s="92" t="s">
        <v>32</v>
      </c>
      <c r="B124" s="83" t="s">
        <v>38</v>
      </c>
      <c r="C124" s="84">
        <v>9</v>
      </c>
      <c r="D124" s="93" t="s">
        <v>88</v>
      </c>
      <c r="E124" s="93" t="s">
        <v>35</v>
      </c>
      <c r="F124" s="93" t="s">
        <v>36</v>
      </c>
      <c r="G124" s="93"/>
      <c r="H124" s="93" t="s">
        <v>70</v>
      </c>
      <c r="I124" s="85">
        <v>600</v>
      </c>
      <c r="J124" s="86">
        <v>29.99</v>
      </c>
      <c r="K124" s="95">
        <f t="shared" si="77"/>
        <v>203.93199999999999</v>
      </c>
      <c r="L124" s="87">
        <v>6.8</v>
      </c>
      <c r="M124" s="95">
        <f t="shared" si="68"/>
        <v>122359.2</v>
      </c>
      <c r="N124" s="88">
        <v>0.12</v>
      </c>
      <c r="O124" s="89">
        <v>5.8</v>
      </c>
      <c r="P124" s="86">
        <f t="shared" si="82"/>
        <v>56700.983999999997</v>
      </c>
      <c r="Q124" s="90">
        <f t="shared" si="78"/>
        <v>0.46339779926642199</v>
      </c>
      <c r="R124" s="95">
        <f t="shared" si="70"/>
        <v>22024.655999999999</v>
      </c>
      <c r="S124" s="90">
        <v>0.18</v>
      </c>
      <c r="T124" s="86">
        <f t="shared" si="71"/>
        <v>43633.56</v>
      </c>
      <c r="U124" s="90">
        <f t="shared" si="72"/>
        <v>0.35660220073357801</v>
      </c>
      <c r="V124" s="89">
        <f t="shared" si="73"/>
        <v>3670.7759999999998</v>
      </c>
      <c r="W124" s="90">
        <v>0.03</v>
      </c>
      <c r="X124" s="89">
        <v>40</v>
      </c>
      <c r="Y124" s="86">
        <f t="shared" si="76"/>
        <v>24000</v>
      </c>
      <c r="Z124" s="90">
        <f t="shared" si="79"/>
        <v>0.19614381264343</v>
      </c>
      <c r="AA124" s="95">
        <f>0.91*I124*L124</f>
        <v>3712.8</v>
      </c>
      <c r="AB124" s="90">
        <f t="shared" si="83"/>
        <v>3.03434478159386E-2</v>
      </c>
      <c r="AC124" s="86">
        <f t="shared" ref="AC124:AC135" si="84">M124*0.04</f>
        <v>4894.3680000000004</v>
      </c>
      <c r="AD124" s="91">
        <f>AC124/M124</f>
        <v>0.04</v>
      </c>
      <c r="AE124" s="86">
        <v>0</v>
      </c>
      <c r="AF124" s="91">
        <f t="shared" ref="AF124:AF129" si="85">AE124/M124</f>
        <v>0</v>
      </c>
      <c r="AG124" s="86">
        <f t="shared" si="74"/>
        <v>7355.61599999999</v>
      </c>
      <c r="AH124" s="88">
        <f t="shared" si="75"/>
        <v>6.0114940274208897E-2</v>
      </c>
    </row>
    <row r="125" spans="1:39" s="2" customFormat="1" ht="21" hidden="1" customHeight="1">
      <c r="A125" s="92" t="s">
        <v>32</v>
      </c>
      <c r="B125" s="83" t="s">
        <v>38</v>
      </c>
      <c r="C125" s="84">
        <v>9</v>
      </c>
      <c r="D125" s="93" t="s">
        <v>89</v>
      </c>
      <c r="E125" s="93" t="s">
        <v>35</v>
      </c>
      <c r="F125" s="93" t="s">
        <v>36</v>
      </c>
      <c r="G125" s="93"/>
      <c r="H125" s="93" t="s">
        <v>70</v>
      </c>
      <c r="I125" s="85">
        <v>900</v>
      </c>
      <c r="J125" s="86">
        <v>49.99</v>
      </c>
      <c r="K125" s="95">
        <f t="shared" si="77"/>
        <v>339.93200000000002</v>
      </c>
      <c r="L125" s="87">
        <v>6.8</v>
      </c>
      <c r="M125" s="95">
        <f t="shared" si="68"/>
        <v>305938.8</v>
      </c>
      <c r="N125" s="88">
        <v>0.12</v>
      </c>
      <c r="O125" s="89">
        <v>6.35</v>
      </c>
      <c r="P125" s="86">
        <f t="shared" si="82"/>
        <v>121465.476</v>
      </c>
      <c r="Q125" s="90">
        <f t="shared" si="78"/>
        <v>0.39702540508101603</v>
      </c>
      <c r="R125" s="95">
        <f t="shared" si="70"/>
        <v>55068.983999999997</v>
      </c>
      <c r="S125" s="90">
        <v>0.18</v>
      </c>
      <c r="T125" s="86">
        <f t="shared" si="71"/>
        <v>129404.34</v>
      </c>
      <c r="U125" s="90">
        <f t="shared" si="72"/>
        <v>0.42297459491898398</v>
      </c>
      <c r="V125" s="89">
        <f t="shared" si="73"/>
        <v>9178.1640000000007</v>
      </c>
      <c r="W125" s="90">
        <v>0.03</v>
      </c>
      <c r="X125" s="89">
        <v>80</v>
      </c>
      <c r="Y125" s="86">
        <f t="shared" si="76"/>
        <v>72000</v>
      </c>
      <c r="Z125" s="90">
        <f t="shared" si="79"/>
        <v>0.235341185884236</v>
      </c>
      <c r="AA125" s="95">
        <f>1.55*I125*L125</f>
        <v>9486</v>
      </c>
      <c r="AB125" s="90">
        <f t="shared" si="83"/>
        <v>3.10062012402481E-2</v>
      </c>
      <c r="AC125" s="86">
        <f t="shared" si="84"/>
        <v>12237.552</v>
      </c>
      <c r="AD125" s="91">
        <f>AC125/M125</f>
        <v>0.04</v>
      </c>
      <c r="AE125" s="86">
        <v>0</v>
      </c>
      <c r="AF125" s="91">
        <f t="shared" si="85"/>
        <v>0</v>
      </c>
      <c r="AG125" s="86">
        <f t="shared" si="74"/>
        <v>26502.624</v>
      </c>
      <c r="AH125" s="88">
        <f t="shared" si="75"/>
        <v>8.6627207794500102E-2</v>
      </c>
    </row>
    <row r="126" spans="1:39" s="2" customFormat="1" ht="21" hidden="1" customHeight="1">
      <c r="A126" s="92" t="s">
        <v>32</v>
      </c>
      <c r="B126" s="83" t="s">
        <v>90</v>
      </c>
      <c r="C126" s="84">
        <v>9</v>
      </c>
      <c r="D126" s="93" t="s">
        <v>91</v>
      </c>
      <c r="E126" s="93" t="s">
        <v>35</v>
      </c>
      <c r="F126" s="93" t="s">
        <v>36</v>
      </c>
      <c r="G126" s="93"/>
      <c r="H126" s="93" t="s">
        <v>37</v>
      </c>
      <c r="I126" s="85">
        <v>1500</v>
      </c>
      <c r="J126" s="86">
        <v>32.99</v>
      </c>
      <c r="K126" s="95">
        <f t="shared" si="77"/>
        <v>224.33199999999999</v>
      </c>
      <c r="L126" s="87">
        <v>6.8</v>
      </c>
      <c r="M126" s="95">
        <f t="shared" si="68"/>
        <v>336498</v>
      </c>
      <c r="N126" s="88">
        <v>0.08</v>
      </c>
      <c r="O126" s="89">
        <v>4.54</v>
      </c>
      <c r="P126" s="86">
        <f t="shared" si="82"/>
        <v>123702.54</v>
      </c>
      <c r="Q126" s="90">
        <f t="shared" si="78"/>
        <v>0.367617459836314</v>
      </c>
      <c r="R126" s="95">
        <f t="shared" si="70"/>
        <v>60569.64</v>
      </c>
      <c r="S126" s="90">
        <v>0.18</v>
      </c>
      <c r="T126" s="86">
        <f t="shared" si="71"/>
        <v>152225.82</v>
      </c>
      <c r="U126" s="90">
        <f t="shared" si="72"/>
        <v>0.45238254016368601</v>
      </c>
      <c r="V126" s="89">
        <f t="shared" si="73"/>
        <v>10094.94</v>
      </c>
      <c r="W126" s="90">
        <v>0.03</v>
      </c>
      <c r="X126" s="89">
        <v>36</v>
      </c>
      <c r="Y126" s="86">
        <f t="shared" si="76"/>
        <v>54000</v>
      </c>
      <c r="Z126" s="90">
        <f t="shared" si="79"/>
        <v>0.16047643670987599</v>
      </c>
      <c r="AA126" s="95">
        <f>1.3*I126*L126</f>
        <v>13260</v>
      </c>
      <c r="AB126" s="90">
        <f t="shared" si="83"/>
        <v>3.9405880569869697E-2</v>
      </c>
      <c r="AC126" s="86">
        <f t="shared" si="84"/>
        <v>13459.92</v>
      </c>
      <c r="AD126" s="91">
        <v>0.02</v>
      </c>
      <c r="AE126" s="86">
        <v>0</v>
      </c>
      <c r="AF126" s="91">
        <f t="shared" si="85"/>
        <v>0</v>
      </c>
      <c r="AG126" s="86">
        <f t="shared" si="74"/>
        <v>61410.96</v>
      </c>
      <c r="AH126" s="88">
        <f t="shared" si="75"/>
        <v>0.18250022288393999</v>
      </c>
    </row>
    <row r="127" spans="1:39" s="2" customFormat="1" ht="21" hidden="1" customHeight="1">
      <c r="A127" s="92" t="s">
        <v>32</v>
      </c>
      <c r="B127" s="92" t="s">
        <v>40</v>
      </c>
      <c r="C127" s="84">
        <v>9</v>
      </c>
      <c r="D127" s="93" t="s">
        <v>41</v>
      </c>
      <c r="E127" s="93" t="s">
        <v>42</v>
      </c>
      <c r="F127" s="93" t="s">
        <v>36</v>
      </c>
      <c r="G127" s="93"/>
      <c r="H127" s="93" t="s">
        <v>43</v>
      </c>
      <c r="I127" s="85">
        <v>690</v>
      </c>
      <c r="J127" s="86">
        <v>71.989999999999995</v>
      </c>
      <c r="K127" s="86">
        <f t="shared" si="77"/>
        <v>489.53199999999998</v>
      </c>
      <c r="L127" s="87">
        <v>6.8</v>
      </c>
      <c r="M127" s="86">
        <f t="shared" si="68"/>
        <v>337777.08</v>
      </c>
      <c r="N127" s="88">
        <v>0.04</v>
      </c>
      <c r="O127" s="89">
        <v>17.690000000000001</v>
      </c>
      <c r="P127" s="86">
        <f t="shared" si="82"/>
        <v>147179.12520000001</v>
      </c>
      <c r="Q127" s="90">
        <f t="shared" si="78"/>
        <v>0.435728573412974</v>
      </c>
      <c r="R127" s="86">
        <f t="shared" si="70"/>
        <v>27022.166399999998</v>
      </c>
      <c r="S127" s="90">
        <v>0.08</v>
      </c>
      <c r="T127" s="86">
        <f t="shared" si="71"/>
        <v>163575.78839999999</v>
      </c>
      <c r="U127" s="90">
        <f t="shared" si="72"/>
        <v>0.48427142658702599</v>
      </c>
      <c r="V127" s="89">
        <f t="shared" si="73"/>
        <v>6755.5415999999996</v>
      </c>
      <c r="W127" s="90">
        <v>0.02</v>
      </c>
      <c r="X127" s="89">
        <v>129.5</v>
      </c>
      <c r="Y127" s="86">
        <f t="shared" si="76"/>
        <v>89355</v>
      </c>
      <c r="Z127" s="90">
        <f t="shared" si="79"/>
        <v>0.26453837542795999</v>
      </c>
      <c r="AA127" s="86">
        <f>10.13*I127*L127</f>
        <v>47529.96</v>
      </c>
      <c r="AB127" s="90">
        <f t="shared" si="83"/>
        <v>0.14071398805389601</v>
      </c>
      <c r="AC127" s="86">
        <f t="shared" si="84"/>
        <v>13511.083199999999</v>
      </c>
      <c r="AD127" s="91">
        <f t="shared" ref="AD127:AD135" si="86">AC127/M127</f>
        <v>0.04</v>
      </c>
      <c r="AE127" s="86">
        <v>0</v>
      </c>
      <c r="AF127" s="91">
        <f t="shared" si="85"/>
        <v>0</v>
      </c>
      <c r="AG127" s="86">
        <f t="shared" si="74"/>
        <v>6424.2036000000198</v>
      </c>
      <c r="AH127" s="88">
        <f t="shared" si="75"/>
        <v>1.90190631051699E-2</v>
      </c>
    </row>
    <row r="128" spans="1:39" s="1" customFormat="1" ht="21" hidden="1" customHeight="1">
      <c r="A128" s="92" t="s">
        <v>32</v>
      </c>
      <c r="B128" s="92" t="s">
        <v>40</v>
      </c>
      <c r="C128" s="84">
        <v>9</v>
      </c>
      <c r="D128" s="93" t="s">
        <v>44</v>
      </c>
      <c r="E128" s="93" t="s">
        <v>42</v>
      </c>
      <c r="F128" s="93" t="s">
        <v>36</v>
      </c>
      <c r="G128" s="93"/>
      <c r="H128" s="93" t="s">
        <v>43</v>
      </c>
      <c r="I128" s="85">
        <v>600</v>
      </c>
      <c r="J128" s="86">
        <v>119.99</v>
      </c>
      <c r="K128" s="86">
        <f t="shared" si="77"/>
        <v>815.93200000000002</v>
      </c>
      <c r="L128" s="87">
        <v>6.8</v>
      </c>
      <c r="M128" s="86">
        <f t="shared" si="68"/>
        <v>489559.2</v>
      </c>
      <c r="N128" s="88">
        <v>0.04</v>
      </c>
      <c r="O128" s="89">
        <v>19.59</v>
      </c>
      <c r="P128" s="86">
        <f t="shared" si="82"/>
        <v>172943.448</v>
      </c>
      <c r="Q128" s="90">
        <f t="shared" si="78"/>
        <v>0.35326360530044199</v>
      </c>
      <c r="R128" s="86">
        <f t="shared" si="70"/>
        <v>39164.735999999997</v>
      </c>
      <c r="S128" s="90">
        <v>0.08</v>
      </c>
      <c r="T128" s="86">
        <f t="shared" si="71"/>
        <v>277451.016</v>
      </c>
      <c r="U128" s="90">
        <f t="shared" si="72"/>
        <v>0.56673639469955805</v>
      </c>
      <c r="V128" s="89">
        <f t="shared" si="73"/>
        <v>9791.1839999999993</v>
      </c>
      <c r="W128" s="90">
        <v>0.02</v>
      </c>
      <c r="X128" s="89">
        <v>163.5</v>
      </c>
      <c r="Y128" s="86">
        <f t="shared" si="76"/>
        <v>98100</v>
      </c>
      <c r="Z128" s="90">
        <f t="shared" si="79"/>
        <v>0.200384345754303</v>
      </c>
      <c r="AA128" s="86">
        <f>M128*AB128</f>
        <v>44060.328000000001</v>
      </c>
      <c r="AB128" s="90">
        <v>0.09</v>
      </c>
      <c r="AC128" s="86">
        <f t="shared" si="84"/>
        <v>19582.367999999999</v>
      </c>
      <c r="AD128" s="91">
        <f t="shared" si="86"/>
        <v>0.04</v>
      </c>
      <c r="AE128" s="86">
        <v>0</v>
      </c>
      <c r="AF128" s="91">
        <f t="shared" si="85"/>
        <v>0</v>
      </c>
      <c r="AG128" s="86">
        <f t="shared" si="74"/>
        <v>105917.136</v>
      </c>
      <c r="AH128" s="88">
        <f t="shared" si="75"/>
        <v>0.216352048945255</v>
      </c>
      <c r="AI128" s="13"/>
      <c r="AJ128" s="13"/>
      <c r="AK128" s="13"/>
      <c r="AL128" s="13"/>
      <c r="AM128" s="13"/>
    </row>
    <row r="129" spans="1:39" s="1" customFormat="1" ht="21" hidden="1" customHeight="1">
      <c r="A129" s="92" t="s">
        <v>32</v>
      </c>
      <c r="B129" s="92" t="s">
        <v>40</v>
      </c>
      <c r="C129" s="84">
        <v>9</v>
      </c>
      <c r="D129" s="93" t="s">
        <v>45</v>
      </c>
      <c r="E129" s="93" t="s">
        <v>42</v>
      </c>
      <c r="F129" s="93" t="s">
        <v>36</v>
      </c>
      <c r="G129" s="93"/>
      <c r="H129" s="93" t="s">
        <v>43</v>
      </c>
      <c r="I129" s="85">
        <v>120</v>
      </c>
      <c r="J129" s="86">
        <v>149.99</v>
      </c>
      <c r="K129" s="86">
        <f t="shared" si="77"/>
        <v>1019.932</v>
      </c>
      <c r="L129" s="87">
        <v>6.8</v>
      </c>
      <c r="M129" s="86">
        <f t="shared" si="68"/>
        <v>122391.84</v>
      </c>
      <c r="N129" s="88">
        <v>0.04</v>
      </c>
      <c r="O129" s="89">
        <v>23.57</v>
      </c>
      <c r="P129" s="86">
        <f t="shared" si="82"/>
        <v>42487.569600000003</v>
      </c>
      <c r="Q129" s="90">
        <f t="shared" si="78"/>
        <v>0.34714380958730601</v>
      </c>
      <c r="R129" s="86">
        <f t="shared" si="70"/>
        <v>9791.3472000000002</v>
      </c>
      <c r="S129" s="90">
        <v>0.08</v>
      </c>
      <c r="T129" s="86">
        <f t="shared" si="71"/>
        <v>70112.923200000005</v>
      </c>
      <c r="U129" s="90">
        <f t="shared" si="72"/>
        <v>0.57285619041269398</v>
      </c>
      <c r="V129" s="89">
        <f t="shared" si="73"/>
        <v>2447.8368</v>
      </c>
      <c r="W129" s="90">
        <v>0.02</v>
      </c>
      <c r="X129" s="89">
        <v>241</v>
      </c>
      <c r="Y129" s="86">
        <f t="shared" si="76"/>
        <v>28920</v>
      </c>
      <c r="Z129" s="90">
        <f t="shared" si="79"/>
        <v>0.23629026248808699</v>
      </c>
      <c r="AA129" s="86">
        <f>M129*AB129</f>
        <v>9791.3472000000002</v>
      </c>
      <c r="AB129" s="90">
        <v>0.08</v>
      </c>
      <c r="AC129" s="86">
        <f t="shared" si="84"/>
        <v>4895.6736000000001</v>
      </c>
      <c r="AD129" s="91">
        <f t="shared" si="86"/>
        <v>0.04</v>
      </c>
      <c r="AE129" s="86">
        <v>0</v>
      </c>
      <c r="AF129" s="91">
        <f t="shared" si="85"/>
        <v>0</v>
      </c>
      <c r="AG129" s="86">
        <f t="shared" si="74"/>
        <v>24058.065600000002</v>
      </c>
      <c r="AH129" s="88">
        <f t="shared" si="75"/>
        <v>0.196565927924607</v>
      </c>
      <c r="AI129" s="13"/>
      <c r="AJ129" s="13"/>
      <c r="AK129" s="13"/>
      <c r="AL129" s="13"/>
      <c r="AM129" s="13"/>
    </row>
    <row r="130" spans="1:39" s="2" customFormat="1" ht="21" hidden="1" customHeight="1">
      <c r="A130" s="92" t="s">
        <v>32</v>
      </c>
      <c r="B130" s="92" t="s">
        <v>46</v>
      </c>
      <c r="C130" s="84">
        <v>9</v>
      </c>
      <c r="D130" s="93" t="s">
        <v>47</v>
      </c>
      <c r="E130" s="93" t="s">
        <v>42</v>
      </c>
      <c r="F130" s="93" t="s">
        <v>36</v>
      </c>
      <c r="G130" s="93"/>
      <c r="H130" s="93" t="s">
        <v>43</v>
      </c>
      <c r="I130" s="85">
        <v>270</v>
      </c>
      <c r="J130" s="86">
        <v>112.99</v>
      </c>
      <c r="K130" s="86">
        <f t="shared" si="77"/>
        <v>768.33199999999999</v>
      </c>
      <c r="L130" s="87">
        <v>6.8</v>
      </c>
      <c r="M130" s="86">
        <f t="shared" si="68"/>
        <v>207449.64</v>
      </c>
      <c r="N130" s="88">
        <v>0.04</v>
      </c>
      <c r="O130" s="89">
        <v>23.57</v>
      </c>
      <c r="P130" s="86">
        <f t="shared" si="82"/>
        <v>82689.9516</v>
      </c>
      <c r="Q130" s="90">
        <f t="shared" si="78"/>
        <v>0.39860253119745098</v>
      </c>
      <c r="R130" s="86">
        <f t="shared" si="70"/>
        <v>20744.964</v>
      </c>
      <c r="S130" s="90">
        <v>0.1</v>
      </c>
      <c r="T130" s="86">
        <f t="shared" si="71"/>
        <v>104014.72440000001</v>
      </c>
      <c r="U130" s="90">
        <f t="shared" si="72"/>
        <v>0.50139746880254898</v>
      </c>
      <c r="V130" s="89">
        <f t="shared" si="73"/>
        <v>4148.9928</v>
      </c>
      <c r="W130" s="90">
        <v>0.02</v>
      </c>
      <c r="X130" s="89">
        <v>176</v>
      </c>
      <c r="Y130" s="86">
        <f t="shared" si="76"/>
        <v>47520</v>
      </c>
      <c r="Z130" s="90">
        <v>0.28000000000000003</v>
      </c>
      <c r="AA130" s="86">
        <f>M130*AB130</f>
        <v>14521.4748</v>
      </c>
      <c r="AB130" s="90">
        <v>7.0000000000000007E-2</v>
      </c>
      <c r="AC130" s="86">
        <f t="shared" si="84"/>
        <v>8297.9856</v>
      </c>
      <c r="AD130" s="91">
        <f t="shared" si="86"/>
        <v>0.04</v>
      </c>
      <c r="AE130" s="86">
        <v>0</v>
      </c>
      <c r="AF130" s="91">
        <v>0</v>
      </c>
      <c r="AG130" s="86">
        <f t="shared" si="74"/>
        <v>29526.271199999999</v>
      </c>
      <c r="AH130" s="88">
        <f t="shared" si="75"/>
        <v>0.142329826168896</v>
      </c>
    </row>
    <row r="131" spans="1:39" s="2" customFormat="1" ht="21" hidden="1" customHeight="1">
      <c r="A131" s="92" t="s">
        <v>32</v>
      </c>
      <c r="B131" s="92" t="s">
        <v>46</v>
      </c>
      <c r="C131" s="84">
        <v>9</v>
      </c>
      <c r="D131" s="93" t="s">
        <v>48</v>
      </c>
      <c r="E131" s="93" t="s">
        <v>42</v>
      </c>
      <c r="F131" s="93" t="s">
        <v>36</v>
      </c>
      <c r="G131" s="93"/>
      <c r="H131" s="93" t="s">
        <v>43</v>
      </c>
      <c r="I131" s="85">
        <v>180</v>
      </c>
      <c r="J131" s="86">
        <v>159.99</v>
      </c>
      <c r="K131" s="86">
        <f t="shared" si="77"/>
        <v>1087.932</v>
      </c>
      <c r="L131" s="87">
        <v>6.8</v>
      </c>
      <c r="M131" s="86">
        <f t="shared" si="68"/>
        <v>195827.76</v>
      </c>
      <c r="N131" s="88">
        <v>0.04</v>
      </c>
      <c r="O131" s="89">
        <v>29.27</v>
      </c>
      <c r="P131" s="86">
        <f t="shared" si="82"/>
        <v>73033.754400000005</v>
      </c>
      <c r="Q131" s="90">
        <f t="shared" si="78"/>
        <v>0.37294893430839399</v>
      </c>
      <c r="R131" s="86">
        <f t="shared" si="70"/>
        <v>19582.776000000002</v>
      </c>
      <c r="S131" s="90">
        <v>0.1</v>
      </c>
      <c r="T131" s="86">
        <f t="shared" si="71"/>
        <v>103211.22960000001</v>
      </c>
      <c r="U131" s="90">
        <f t="shared" si="72"/>
        <v>0.52705106569160598</v>
      </c>
      <c r="V131" s="89">
        <f t="shared" si="73"/>
        <v>3916.5551999999998</v>
      </c>
      <c r="W131" s="90">
        <v>0.02</v>
      </c>
      <c r="X131" s="89">
        <v>280.3</v>
      </c>
      <c r="Y131" s="86">
        <f t="shared" si="76"/>
        <v>50454</v>
      </c>
      <c r="Z131" s="90">
        <f>Y131/M131</f>
        <v>0.25764477926929302</v>
      </c>
      <c r="AA131" s="86">
        <f>M131*AB131</f>
        <v>13707.9432</v>
      </c>
      <c r="AB131" s="90">
        <v>7.0000000000000007E-2</v>
      </c>
      <c r="AC131" s="86">
        <f t="shared" si="84"/>
        <v>7833.1103999999996</v>
      </c>
      <c r="AD131" s="91">
        <f t="shared" si="86"/>
        <v>0.04</v>
      </c>
      <c r="AE131" s="86">
        <v>0</v>
      </c>
      <c r="AF131" s="91">
        <v>0</v>
      </c>
      <c r="AG131" s="86">
        <f t="shared" si="74"/>
        <v>27299.620800000001</v>
      </c>
      <c r="AH131" s="88">
        <f t="shared" si="75"/>
        <v>0.13940628642231301</v>
      </c>
    </row>
    <row r="132" spans="1:39" s="2" customFormat="1" ht="21" hidden="1" customHeight="1">
      <c r="A132" s="92" t="s">
        <v>32</v>
      </c>
      <c r="B132" s="92" t="s">
        <v>46</v>
      </c>
      <c r="C132" s="84">
        <v>9</v>
      </c>
      <c r="D132" s="93" t="s">
        <v>49</v>
      </c>
      <c r="E132" s="93" t="s">
        <v>42</v>
      </c>
      <c r="F132" s="93" t="s">
        <v>36</v>
      </c>
      <c r="G132" s="93"/>
      <c r="H132" s="93" t="s">
        <v>43</v>
      </c>
      <c r="I132" s="85">
        <v>120</v>
      </c>
      <c r="J132" s="86">
        <v>69.989999999999995</v>
      </c>
      <c r="K132" s="86">
        <f t="shared" si="77"/>
        <v>475.93200000000002</v>
      </c>
      <c r="L132" s="87">
        <v>6.8</v>
      </c>
      <c r="M132" s="86">
        <f t="shared" si="68"/>
        <v>57111.839999999997</v>
      </c>
      <c r="N132" s="88">
        <v>0.02</v>
      </c>
      <c r="O132" s="89">
        <v>18.25</v>
      </c>
      <c r="P132" s="86">
        <f t="shared" si="82"/>
        <v>24601.0128</v>
      </c>
      <c r="Q132" s="90">
        <f t="shared" si="78"/>
        <v>0.43075153593370502</v>
      </c>
      <c r="R132" s="86">
        <f t="shared" si="70"/>
        <v>6853.4207999999999</v>
      </c>
      <c r="S132" s="90">
        <v>0.12</v>
      </c>
      <c r="T132" s="86">
        <f t="shared" si="71"/>
        <v>25657.4064</v>
      </c>
      <c r="U132" s="90">
        <f t="shared" si="72"/>
        <v>0.44924846406629498</v>
      </c>
      <c r="V132" s="89">
        <f t="shared" si="73"/>
        <v>1142.2367999999999</v>
      </c>
      <c r="W132" s="90">
        <v>0.02</v>
      </c>
      <c r="X132" s="89">
        <v>78</v>
      </c>
      <c r="Y132" s="86">
        <f t="shared" si="76"/>
        <v>9360</v>
      </c>
      <c r="Z132" s="90">
        <f>Y132/M132</f>
        <v>0.163888958926906</v>
      </c>
      <c r="AA132" s="86">
        <f>6.11*I132*L132</f>
        <v>4985.76</v>
      </c>
      <c r="AB132" s="90">
        <v>7.0000000000000007E-2</v>
      </c>
      <c r="AC132" s="86">
        <f t="shared" si="84"/>
        <v>2284.4735999999998</v>
      </c>
      <c r="AD132" s="91">
        <f t="shared" si="86"/>
        <v>0.04</v>
      </c>
      <c r="AE132" s="86">
        <v>0</v>
      </c>
      <c r="AF132" s="91">
        <f>AE132/M132</f>
        <v>0</v>
      </c>
      <c r="AG132" s="86">
        <f t="shared" si="74"/>
        <v>7884.9360000000097</v>
      </c>
      <c r="AH132" s="88">
        <f t="shared" si="75"/>
        <v>0.138061319684325</v>
      </c>
    </row>
    <row r="133" spans="1:39" s="2" customFormat="1" ht="21" hidden="1" customHeight="1">
      <c r="A133" s="92" t="s">
        <v>32</v>
      </c>
      <c r="B133" s="92" t="s">
        <v>46</v>
      </c>
      <c r="C133" s="84">
        <v>9</v>
      </c>
      <c r="D133" s="93" t="s">
        <v>53</v>
      </c>
      <c r="E133" s="93" t="s">
        <v>42</v>
      </c>
      <c r="F133" s="93" t="s">
        <v>36</v>
      </c>
      <c r="G133" s="93"/>
      <c r="H133" s="93" t="s">
        <v>37</v>
      </c>
      <c r="I133" s="85">
        <v>900</v>
      </c>
      <c r="J133" s="86">
        <v>89.99</v>
      </c>
      <c r="K133" s="86">
        <f t="shared" si="77"/>
        <v>611.93200000000002</v>
      </c>
      <c r="L133" s="87">
        <v>6.8</v>
      </c>
      <c r="M133" s="86">
        <f t="shared" si="68"/>
        <v>550738.80000000005</v>
      </c>
      <c r="N133" s="88">
        <v>0.03</v>
      </c>
      <c r="O133" s="89">
        <v>18.63</v>
      </c>
      <c r="P133" s="86">
        <f t="shared" si="82"/>
        <v>213148.584</v>
      </c>
      <c r="Q133" s="90">
        <f t="shared" si="78"/>
        <v>0.38702300255583899</v>
      </c>
      <c r="R133" s="86">
        <f t="shared" si="70"/>
        <v>82610.820000000007</v>
      </c>
      <c r="S133" s="90">
        <v>0.15</v>
      </c>
      <c r="T133" s="86">
        <f t="shared" si="71"/>
        <v>254979.39600000001</v>
      </c>
      <c r="U133" s="90">
        <f t="shared" si="72"/>
        <v>0.46297699744416099</v>
      </c>
      <c r="V133" s="89">
        <f t="shared" si="73"/>
        <v>11014.776</v>
      </c>
      <c r="W133" s="90">
        <v>0.02</v>
      </c>
      <c r="X133" s="89">
        <v>143</v>
      </c>
      <c r="Y133" s="86">
        <f t="shared" si="76"/>
        <v>128700</v>
      </c>
      <c r="Z133" s="90">
        <f>Y133/M133</f>
        <v>0.23368609584071401</v>
      </c>
      <c r="AA133" s="86">
        <f>10.13*I133*L133</f>
        <v>61995.6</v>
      </c>
      <c r="AB133" s="90">
        <f>AA133/M133</f>
        <v>0.11256806311812401</v>
      </c>
      <c r="AC133" s="86">
        <f t="shared" si="84"/>
        <v>22029.552</v>
      </c>
      <c r="AD133" s="91">
        <f t="shared" si="86"/>
        <v>0.04</v>
      </c>
      <c r="AE133" s="86">
        <v>0</v>
      </c>
      <c r="AF133" s="91">
        <f>AE133/M133</f>
        <v>0</v>
      </c>
      <c r="AG133" s="86">
        <f t="shared" si="74"/>
        <v>31239.468000000099</v>
      </c>
      <c r="AH133" s="88">
        <f t="shared" si="75"/>
        <v>5.6722838485322002E-2</v>
      </c>
    </row>
    <row r="134" spans="1:39" s="2" customFormat="1" ht="21" hidden="1" customHeight="1">
      <c r="A134" s="92" t="s">
        <v>32</v>
      </c>
      <c r="B134" s="92" t="s">
        <v>46</v>
      </c>
      <c r="C134" s="84">
        <v>9</v>
      </c>
      <c r="D134" s="93" t="s">
        <v>54</v>
      </c>
      <c r="E134" s="93" t="s">
        <v>42</v>
      </c>
      <c r="F134" s="93" t="s">
        <v>36</v>
      </c>
      <c r="G134" s="93"/>
      <c r="H134" s="93" t="s">
        <v>37</v>
      </c>
      <c r="I134" s="85">
        <v>300</v>
      </c>
      <c r="J134" s="86">
        <v>109.99</v>
      </c>
      <c r="K134" s="86">
        <f t="shared" si="77"/>
        <v>747.93200000000002</v>
      </c>
      <c r="L134" s="87">
        <v>6.8</v>
      </c>
      <c r="M134" s="86">
        <f t="shared" si="68"/>
        <v>224379.6</v>
      </c>
      <c r="N134" s="88">
        <v>0.03</v>
      </c>
      <c r="O134" s="89">
        <v>20.149999999999999</v>
      </c>
      <c r="P134" s="86">
        <f t="shared" si="82"/>
        <v>81494.327999999994</v>
      </c>
      <c r="Q134" s="90">
        <f t="shared" si="78"/>
        <v>0.36319847258841698</v>
      </c>
      <c r="R134" s="86">
        <f t="shared" si="70"/>
        <v>33656.94</v>
      </c>
      <c r="S134" s="90">
        <v>0.15</v>
      </c>
      <c r="T134" s="86">
        <f t="shared" si="71"/>
        <v>109228.33199999999</v>
      </c>
      <c r="U134" s="90">
        <f t="shared" si="72"/>
        <v>0.486801527411583</v>
      </c>
      <c r="V134" s="89">
        <f t="shared" si="73"/>
        <v>4487.5919999999996</v>
      </c>
      <c r="W134" s="90">
        <v>0.02</v>
      </c>
      <c r="X134" s="89">
        <v>148</v>
      </c>
      <c r="Y134" s="86">
        <f t="shared" si="76"/>
        <v>44400</v>
      </c>
      <c r="Z134" s="90">
        <f>Y134/M134</f>
        <v>0.19787895156244201</v>
      </c>
      <c r="AA134" s="86">
        <f>1.11*I134*L134</f>
        <v>2264.4</v>
      </c>
      <c r="AB134" s="90">
        <f>AA134/M134</f>
        <v>1.0091826529684499E-2</v>
      </c>
      <c r="AC134" s="86">
        <f t="shared" si="84"/>
        <v>8975.1839999999993</v>
      </c>
      <c r="AD134" s="91">
        <f t="shared" si="86"/>
        <v>0.04</v>
      </c>
      <c r="AE134" s="86">
        <v>0</v>
      </c>
      <c r="AF134" s="91">
        <f>AE134/M134</f>
        <v>0</v>
      </c>
      <c r="AG134" s="86">
        <f t="shared" si="74"/>
        <v>49101.156000000003</v>
      </c>
      <c r="AH134" s="88">
        <f t="shared" si="75"/>
        <v>0.21883074931945701</v>
      </c>
    </row>
    <row r="135" spans="1:39" s="1" customFormat="1" ht="21" hidden="1" customHeight="1">
      <c r="A135" s="92" t="s">
        <v>32</v>
      </c>
      <c r="B135" s="92" t="s">
        <v>46</v>
      </c>
      <c r="C135" s="84">
        <v>9</v>
      </c>
      <c r="D135" s="93" t="s">
        <v>55</v>
      </c>
      <c r="E135" s="93" t="s">
        <v>42</v>
      </c>
      <c r="F135" s="93" t="s">
        <v>36</v>
      </c>
      <c r="G135" s="93"/>
      <c r="H135" s="93" t="s">
        <v>37</v>
      </c>
      <c r="I135" s="85">
        <v>300</v>
      </c>
      <c r="J135" s="86">
        <v>129.99</v>
      </c>
      <c r="K135" s="86">
        <f t="shared" si="77"/>
        <v>883.93200000000002</v>
      </c>
      <c r="L135" s="87">
        <v>6.8</v>
      </c>
      <c r="M135" s="86">
        <f t="shared" si="68"/>
        <v>265179.59999999998</v>
      </c>
      <c r="N135" s="88">
        <v>0.03</v>
      </c>
      <c r="O135" s="89">
        <v>20.53</v>
      </c>
      <c r="P135" s="86">
        <f t="shared" si="82"/>
        <v>89613.528000000006</v>
      </c>
      <c r="Q135" s="90">
        <f t="shared" si="78"/>
        <v>0.33793522578659901</v>
      </c>
      <c r="R135" s="86">
        <f t="shared" si="70"/>
        <v>39776.94</v>
      </c>
      <c r="S135" s="90">
        <v>0.15</v>
      </c>
      <c r="T135" s="86">
        <f t="shared" si="71"/>
        <v>135789.13200000001</v>
      </c>
      <c r="U135" s="90">
        <f t="shared" si="72"/>
        <v>0.51206477421340102</v>
      </c>
      <c r="V135" s="89">
        <f t="shared" si="73"/>
        <v>5303.5919999999996</v>
      </c>
      <c r="W135" s="90">
        <v>0.02</v>
      </c>
      <c r="X135" s="89">
        <v>165</v>
      </c>
      <c r="Y135" s="86">
        <f t="shared" si="76"/>
        <v>49500</v>
      </c>
      <c r="Z135" s="90">
        <f>Y135/M135</f>
        <v>0.18666594262907099</v>
      </c>
      <c r="AA135" s="86">
        <f>M135*AB135</f>
        <v>21214.367999999999</v>
      </c>
      <c r="AB135" s="90">
        <v>0.08</v>
      </c>
      <c r="AC135" s="86">
        <f t="shared" si="84"/>
        <v>10607.183999999999</v>
      </c>
      <c r="AD135" s="91">
        <f t="shared" si="86"/>
        <v>0.04</v>
      </c>
      <c r="AE135" s="86">
        <v>0</v>
      </c>
      <c r="AF135" s="91">
        <f>AE135/M135</f>
        <v>0</v>
      </c>
      <c r="AG135" s="86">
        <f t="shared" si="74"/>
        <v>49163.987999999998</v>
      </c>
      <c r="AH135" s="88">
        <f t="shared" si="75"/>
        <v>0.18539883158432999</v>
      </c>
      <c r="AI135" s="13"/>
      <c r="AJ135" s="13"/>
      <c r="AK135" s="13"/>
      <c r="AL135" s="13"/>
      <c r="AM135" s="13"/>
    </row>
    <row r="136" spans="1:39" s="1" customFormat="1" ht="21" hidden="1" customHeight="1">
      <c r="A136" s="92" t="s">
        <v>32</v>
      </c>
      <c r="B136" s="92" t="s">
        <v>84</v>
      </c>
      <c r="C136" s="84">
        <v>9</v>
      </c>
      <c r="D136" s="93" t="s">
        <v>85</v>
      </c>
      <c r="E136" s="93" t="s">
        <v>75</v>
      </c>
      <c r="F136" s="93" t="s">
        <v>36</v>
      </c>
      <c r="G136" s="93"/>
      <c r="H136" s="93" t="s">
        <v>70</v>
      </c>
      <c r="I136" s="85">
        <v>200</v>
      </c>
      <c r="J136" s="86">
        <v>33.99</v>
      </c>
      <c r="K136" s="86">
        <v>251.93</v>
      </c>
      <c r="L136" s="87">
        <v>6.8</v>
      </c>
      <c r="M136" s="86">
        <f t="shared" ref="M136:M176" si="87">I136*K136</f>
        <v>50386</v>
      </c>
      <c r="N136" s="88">
        <v>0.04</v>
      </c>
      <c r="O136" s="89">
        <v>11.47</v>
      </c>
      <c r="P136" s="86">
        <f t="shared" si="82"/>
        <v>24548.6</v>
      </c>
      <c r="Q136" s="90">
        <v>0.32528440439804701</v>
      </c>
      <c r="R136" s="86">
        <f t="shared" ref="R136:R176" si="88">M136*S136</f>
        <v>7557.9</v>
      </c>
      <c r="S136" s="90">
        <v>0.15</v>
      </c>
      <c r="T136" s="86">
        <f t="shared" ref="T136:T176" si="89">M136-P136-R136</f>
        <v>18279.5</v>
      </c>
      <c r="U136" s="90">
        <f t="shared" ref="U136:U174" si="90">T136/M136</f>
        <v>0.36278926685984197</v>
      </c>
      <c r="V136" s="86">
        <f t="shared" ref="V136:V176" si="91">M136*W136</f>
        <v>1511.58</v>
      </c>
      <c r="W136" s="90">
        <v>0.03</v>
      </c>
      <c r="X136" s="89">
        <v>45.7</v>
      </c>
      <c r="Y136" s="86">
        <f t="shared" si="76"/>
        <v>9140</v>
      </c>
      <c r="Z136" s="90">
        <v>0.26</v>
      </c>
      <c r="AA136" s="86">
        <f>0.4*I136*L136</f>
        <v>544</v>
      </c>
      <c r="AB136" s="90">
        <f>AA136/M136</f>
        <v>1.0796649863057201E-2</v>
      </c>
      <c r="AC136" s="86">
        <f>M136*0.03</f>
        <v>1511.58</v>
      </c>
      <c r="AD136" s="91">
        <v>0.03</v>
      </c>
      <c r="AE136" s="86">
        <v>0</v>
      </c>
      <c r="AF136" s="91">
        <v>0</v>
      </c>
      <c r="AG136" s="86">
        <f t="shared" ref="AG136:AG176" si="92">T136-V136-Y136-AA136-AC136-AE136</f>
        <v>5572.34</v>
      </c>
      <c r="AH136" s="88">
        <f t="shared" ref="AH136:AH176" si="93">AG136/M136</f>
        <v>0.110593021871155</v>
      </c>
      <c r="AI136" s="13"/>
      <c r="AJ136" s="13"/>
      <c r="AK136" s="13"/>
      <c r="AL136" s="13"/>
      <c r="AM136" s="13"/>
    </row>
    <row r="137" spans="1:39" s="1" customFormat="1" ht="21" hidden="1" customHeight="1">
      <c r="A137" s="92" t="s">
        <v>32</v>
      </c>
      <c r="B137" s="92" t="s">
        <v>84</v>
      </c>
      <c r="C137" s="84">
        <v>9</v>
      </c>
      <c r="D137" s="93" t="s">
        <v>86</v>
      </c>
      <c r="E137" s="93" t="s">
        <v>75</v>
      </c>
      <c r="F137" s="93" t="s">
        <v>36</v>
      </c>
      <c r="G137" s="93"/>
      <c r="H137" s="93" t="s">
        <v>70</v>
      </c>
      <c r="I137" s="85">
        <v>100</v>
      </c>
      <c r="J137" s="86">
        <v>37.99</v>
      </c>
      <c r="K137" s="86">
        <v>251.93</v>
      </c>
      <c r="L137" s="87">
        <v>6.8</v>
      </c>
      <c r="M137" s="86">
        <f t="shared" si="87"/>
        <v>25193</v>
      </c>
      <c r="N137" s="88">
        <v>0.04</v>
      </c>
      <c r="O137" s="89">
        <v>11.47</v>
      </c>
      <c r="P137" s="86">
        <f t="shared" si="82"/>
        <v>12682.3</v>
      </c>
      <c r="Q137" s="90">
        <v>0.32528440439804701</v>
      </c>
      <c r="R137" s="86">
        <f t="shared" si="88"/>
        <v>3778.95</v>
      </c>
      <c r="S137" s="90">
        <v>0.15</v>
      </c>
      <c r="T137" s="86">
        <f t="shared" si="89"/>
        <v>8731.75</v>
      </c>
      <c r="U137" s="90">
        <f t="shared" si="90"/>
        <v>0.34659429206525599</v>
      </c>
      <c r="V137" s="86">
        <f t="shared" si="91"/>
        <v>755.79</v>
      </c>
      <c r="W137" s="90">
        <v>0.03</v>
      </c>
      <c r="X137" s="89">
        <v>56.9</v>
      </c>
      <c r="Y137" s="86">
        <f t="shared" si="76"/>
        <v>5690</v>
      </c>
      <c r="Z137" s="90">
        <v>0.26</v>
      </c>
      <c r="AA137" s="86">
        <f>0.6*I137*L137</f>
        <v>408</v>
      </c>
      <c r="AB137" s="90">
        <f>AA137/M137</f>
        <v>1.6194974794585801E-2</v>
      </c>
      <c r="AC137" s="86">
        <f>M137*0.03</f>
        <v>755.79</v>
      </c>
      <c r="AD137" s="91">
        <v>0.03</v>
      </c>
      <c r="AE137" s="86">
        <v>0</v>
      </c>
      <c r="AF137" s="91">
        <v>0</v>
      </c>
      <c r="AG137" s="86">
        <f t="shared" si="92"/>
        <v>1122.17</v>
      </c>
      <c r="AH137" s="88">
        <f t="shared" si="93"/>
        <v>4.4542928591275399E-2</v>
      </c>
      <c r="AI137" s="13"/>
      <c r="AJ137" s="13"/>
      <c r="AK137" s="13"/>
      <c r="AL137" s="13"/>
      <c r="AM137" s="13"/>
    </row>
    <row r="138" spans="1:39" s="1" customFormat="1" ht="21" hidden="1" customHeight="1">
      <c r="A138" s="29" t="s">
        <v>56</v>
      </c>
      <c r="B138" s="80" t="s">
        <v>57</v>
      </c>
      <c r="C138" s="31">
        <v>9</v>
      </c>
      <c r="D138" s="31" t="s">
        <v>58</v>
      </c>
      <c r="E138" s="31" t="s">
        <v>35</v>
      </c>
      <c r="F138" s="31" t="s">
        <v>36</v>
      </c>
      <c r="G138" s="31"/>
      <c r="H138" s="31" t="s">
        <v>43</v>
      </c>
      <c r="I138" s="33">
        <v>500</v>
      </c>
      <c r="J138" s="34">
        <v>89.99</v>
      </c>
      <c r="K138" s="34">
        <f t="shared" ref="K138:K168" si="94">J138*L138</f>
        <v>719.92</v>
      </c>
      <c r="L138" s="19">
        <v>8</v>
      </c>
      <c r="M138" s="34">
        <f t="shared" si="87"/>
        <v>359960</v>
      </c>
      <c r="N138" s="35">
        <v>0.08</v>
      </c>
      <c r="O138" s="36">
        <v>5.87</v>
      </c>
      <c r="P138" s="34">
        <f t="shared" si="82"/>
        <v>106270.8</v>
      </c>
      <c r="Q138" s="37">
        <f t="shared" ref="Q138:Q168" si="95">P138/M138</f>
        <v>0.29522946994110499</v>
      </c>
      <c r="R138" s="34">
        <f t="shared" si="88"/>
        <v>28796.799999999999</v>
      </c>
      <c r="S138" s="37">
        <v>0.08</v>
      </c>
      <c r="T138" s="18">
        <f t="shared" si="89"/>
        <v>224892.4</v>
      </c>
      <c r="U138" s="22">
        <f t="shared" si="90"/>
        <v>0.62477053005889505</v>
      </c>
      <c r="V138" s="34">
        <f t="shared" si="91"/>
        <v>0</v>
      </c>
      <c r="W138" s="37">
        <v>0</v>
      </c>
      <c r="X138" s="36">
        <v>171.5</v>
      </c>
      <c r="Y138" s="34">
        <f t="shared" si="76"/>
        <v>85750</v>
      </c>
      <c r="Z138" s="37">
        <f t="shared" ref="Z138:Z156" si="96">Y138/M138</f>
        <v>0.23822091343482599</v>
      </c>
      <c r="AA138" s="34">
        <f>M138*AB138</f>
        <v>17998</v>
      </c>
      <c r="AB138" s="37">
        <v>0.05</v>
      </c>
      <c r="AC138" s="18">
        <f>M138*AD138</f>
        <v>10798.8</v>
      </c>
      <c r="AD138" s="38">
        <v>0.03</v>
      </c>
      <c r="AE138" s="34">
        <f>J138/1.19*0.19*I138*L138</f>
        <v>57472.605042016803</v>
      </c>
      <c r="AF138" s="38">
        <f>AE138/M138</f>
        <v>0.159663865546218</v>
      </c>
      <c r="AG138" s="34">
        <f t="shared" si="92"/>
        <v>52872.994957983203</v>
      </c>
      <c r="AH138" s="35">
        <f t="shared" si="93"/>
        <v>0.14688575107785101</v>
      </c>
      <c r="AI138" s="13"/>
      <c r="AJ138" s="13"/>
      <c r="AK138" s="13"/>
      <c r="AL138" s="13"/>
      <c r="AM138" s="13"/>
    </row>
    <row r="139" spans="1:39" s="1" customFormat="1" ht="21" hidden="1" customHeight="1">
      <c r="A139" s="29" t="s">
        <v>56</v>
      </c>
      <c r="B139" s="80" t="s">
        <v>57</v>
      </c>
      <c r="C139" s="31">
        <v>9</v>
      </c>
      <c r="D139" s="31" t="s">
        <v>71</v>
      </c>
      <c r="E139" s="31" t="s">
        <v>35</v>
      </c>
      <c r="F139" s="31" t="s">
        <v>36</v>
      </c>
      <c r="G139" s="31"/>
      <c r="H139" s="31" t="s">
        <v>43</v>
      </c>
      <c r="I139" s="33">
        <v>400</v>
      </c>
      <c r="J139" s="34">
        <v>79.989999999999995</v>
      </c>
      <c r="K139" s="34">
        <f t="shared" si="94"/>
        <v>639.91999999999996</v>
      </c>
      <c r="L139" s="19">
        <v>8</v>
      </c>
      <c r="M139" s="34">
        <f t="shared" si="87"/>
        <v>255968</v>
      </c>
      <c r="N139" s="35">
        <v>0.15</v>
      </c>
      <c r="O139" s="36">
        <v>8.6</v>
      </c>
      <c r="P139" s="34">
        <f t="shared" si="82"/>
        <v>104310.39999999999</v>
      </c>
      <c r="Q139" s="37">
        <f t="shared" si="95"/>
        <v>0.40751343917989802</v>
      </c>
      <c r="R139" s="34">
        <f t="shared" si="88"/>
        <v>20477.439999999999</v>
      </c>
      <c r="S139" s="37">
        <v>0.08</v>
      </c>
      <c r="T139" s="18">
        <f t="shared" si="89"/>
        <v>131180.16</v>
      </c>
      <c r="U139" s="22">
        <f t="shared" si="90"/>
        <v>0.51248656082010202</v>
      </c>
      <c r="V139" s="34">
        <f t="shared" si="91"/>
        <v>0</v>
      </c>
      <c r="W139" s="37">
        <v>0</v>
      </c>
      <c r="X139" s="36">
        <v>142</v>
      </c>
      <c r="Y139" s="34">
        <f t="shared" si="76"/>
        <v>56800</v>
      </c>
      <c r="Z139" s="37">
        <f t="shared" si="96"/>
        <v>0.22190273784223</v>
      </c>
      <c r="AA139" s="34">
        <f>M139*AB139</f>
        <v>12798.4</v>
      </c>
      <c r="AB139" s="37">
        <v>0.05</v>
      </c>
      <c r="AC139" s="18">
        <f t="shared" ref="AC139:AC147" si="97">M139*0.04</f>
        <v>10238.719999999999</v>
      </c>
      <c r="AD139" s="38">
        <v>0.03</v>
      </c>
      <c r="AE139" s="34">
        <f>J139/1.19*0.19*I139*L139</f>
        <v>40868.840336134497</v>
      </c>
      <c r="AF139" s="38">
        <f>AE139/M139</f>
        <v>0.159663865546219</v>
      </c>
      <c r="AG139" s="34">
        <f t="shared" si="92"/>
        <v>10474.1996638655</v>
      </c>
      <c r="AH139" s="35">
        <f t="shared" si="93"/>
        <v>4.0919957431653498E-2</v>
      </c>
      <c r="AI139" s="13"/>
      <c r="AJ139" s="13"/>
      <c r="AK139" s="13"/>
      <c r="AL139" s="13"/>
      <c r="AM139" s="13"/>
    </row>
    <row r="140" spans="1:39" s="2" customFormat="1" ht="21" hidden="1" customHeight="1">
      <c r="A140" s="29" t="s">
        <v>56</v>
      </c>
      <c r="B140" s="80" t="s">
        <v>64</v>
      </c>
      <c r="C140" s="31">
        <v>9</v>
      </c>
      <c r="D140" s="31" t="s">
        <v>66</v>
      </c>
      <c r="E140" s="31" t="s">
        <v>35</v>
      </c>
      <c r="F140" s="31" t="s">
        <v>36</v>
      </c>
      <c r="G140" s="31"/>
      <c r="H140" s="31" t="s">
        <v>43</v>
      </c>
      <c r="I140" s="33">
        <v>400</v>
      </c>
      <c r="J140" s="34">
        <v>99.99</v>
      </c>
      <c r="K140" s="34">
        <f t="shared" si="94"/>
        <v>919.90800000000002</v>
      </c>
      <c r="L140" s="19">
        <v>9.1999999999999993</v>
      </c>
      <c r="M140" s="34">
        <f t="shared" si="87"/>
        <v>367963.2</v>
      </c>
      <c r="N140" s="35">
        <v>0.2</v>
      </c>
      <c r="O140" s="36">
        <v>6.45</v>
      </c>
      <c r="P140" s="34">
        <f t="shared" si="82"/>
        <v>152523.12</v>
      </c>
      <c r="Q140" s="37">
        <f t="shared" si="95"/>
        <v>0.41450645064506397</v>
      </c>
      <c r="R140" s="34">
        <f t="shared" si="88"/>
        <v>29437.056</v>
      </c>
      <c r="S140" s="37">
        <v>0.08</v>
      </c>
      <c r="T140" s="18">
        <f t="shared" si="89"/>
        <v>186003.024</v>
      </c>
      <c r="U140" s="22">
        <f t="shared" si="90"/>
        <v>0.50549354935493596</v>
      </c>
      <c r="V140" s="34">
        <f t="shared" si="91"/>
        <v>0</v>
      </c>
      <c r="W140" s="37">
        <v>0</v>
      </c>
      <c r="X140" s="36">
        <v>170.5</v>
      </c>
      <c r="Y140" s="34">
        <f t="shared" si="76"/>
        <v>68200</v>
      </c>
      <c r="Z140" s="37">
        <f t="shared" si="96"/>
        <v>0.18534462141866401</v>
      </c>
      <c r="AA140" s="34">
        <f>10.13*I140*L140</f>
        <v>37278.400000000001</v>
      </c>
      <c r="AB140" s="37">
        <v>0.05</v>
      </c>
      <c r="AC140" s="18">
        <f t="shared" si="97"/>
        <v>14718.528</v>
      </c>
      <c r="AD140" s="38">
        <v>0.03</v>
      </c>
      <c r="AE140" s="34">
        <f>(J140*(20%/(1+20%)))*I140*L140</f>
        <v>61327.199999999997</v>
      </c>
      <c r="AF140" s="38">
        <f>AE140/M140</f>
        <v>0.16666666666666699</v>
      </c>
      <c r="AG140" s="34">
        <f t="shared" si="92"/>
        <v>4478.8960000000097</v>
      </c>
      <c r="AH140" s="35">
        <f t="shared" si="93"/>
        <v>1.2172130256503899E-2</v>
      </c>
    </row>
    <row r="141" spans="1:39" s="2" customFormat="1" ht="21" hidden="1" customHeight="1">
      <c r="A141" s="29" t="s">
        <v>56</v>
      </c>
      <c r="B141" s="80" t="s">
        <v>72</v>
      </c>
      <c r="C141" s="31">
        <v>9</v>
      </c>
      <c r="D141" s="31" t="s">
        <v>73</v>
      </c>
      <c r="E141" s="31" t="s">
        <v>35</v>
      </c>
      <c r="F141" s="31" t="s">
        <v>36</v>
      </c>
      <c r="G141" s="31"/>
      <c r="H141" s="31" t="s">
        <v>43</v>
      </c>
      <c r="I141" s="33">
        <v>400</v>
      </c>
      <c r="J141" s="34">
        <v>59.99</v>
      </c>
      <c r="K141" s="34">
        <f t="shared" si="94"/>
        <v>551.90800000000002</v>
      </c>
      <c r="L141" s="19">
        <v>9.1999999999999993</v>
      </c>
      <c r="M141" s="34">
        <f t="shared" si="87"/>
        <v>220763.2</v>
      </c>
      <c r="N141" s="35">
        <v>7.0000000000000007E-2</v>
      </c>
      <c r="O141" s="36">
        <v>6.11</v>
      </c>
      <c r="P141" s="34">
        <f t="shared" si="82"/>
        <v>71052.703999999998</v>
      </c>
      <c r="Q141" s="37">
        <f t="shared" si="95"/>
        <v>0.321850308384731</v>
      </c>
      <c r="R141" s="34">
        <f t="shared" si="88"/>
        <v>17661.056</v>
      </c>
      <c r="S141" s="37">
        <v>0.08</v>
      </c>
      <c r="T141" s="18">
        <f t="shared" si="89"/>
        <v>132049.44</v>
      </c>
      <c r="U141" s="22">
        <f t="shared" si="90"/>
        <v>0.59814969161526899</v>
      </c>
      <c r="V141" s="34">
        <f t="shared" si="91"/>
        <v>0</v>
      </c>
      <c r="W141" s="37">
        <v>0</v>
      </c>
      <c r="X141" s="36">
        <v>142</v>
      </c>
      <c r="Y141" s="34">
        <f t="shared" si="76"/>
        <v>56800</v>
      </c>
      <c r="Z141" s="37">
        <f t="shared" si="96"/>
        <v>0.25728925835465299</v>
      </c>
      <c r="AA141" s="34">
        <f>6.11*I141*L141</f>
        <v>22484.799999999999</v>
      </c>
      <c r="AB141" s="37">
        <v>0.05</v>
      </c>
      <c r="AC141" s="18">
        <f t="shared" si="97"/>
        <v>8830.5280000000002</v>
      </c>
      <c r="AD141" s="38">
        <v>0.03</v>
      </c>
      <c r="AE141" s="34">
        <f>(M141-M141*0.2)*0.2</f>
        <v>35322.112000000001</v>
      </c>
      <c r="AF141" s="38">
        <f>AE141/M141</f>
        <v>0.16</v>
      </c>
      <c r="AG141" s="34">
        <f t="shared" si="92"/>
        <v>8612</v>
      </c>
      <c r="AH141" s="35">
        <f t="shared" si="93"/>
        <v>3.9010124875885101E-2</v>
      </c>
    </row>
    <row r="142" spans="1:39" s="2" customFormat="1" ht="21" hidden="1" customHeight="1">
      <c r="A142" s="29" t="s">
        <v>56</v>
      </c>
      <c r="B142" s="80" t="s">
        <v>72</v>
      </c>
      <c r="C142" s="31">
        <v>9</v>
      </c>
      <c r="D142" s="31" t="s">
        <v>93</v>
      </c>
      <c r="E142" s="31" t="s">
        <v>75</v>
      </c>
      <c r="F142" s="31" t="s">
        <v>79</v>
      </c>
      <c r="G142" s="31"/>
      <c r="H142" s="31" t="s">
        <v>43</v>
      </c>
      <c r="I142" s="33">
        <v>600</v>
      </c>
      <c r="J142" s="34">
        <v>299.99</v>
      </c>
      <c r="K142" s="34">
        <f t="shared" si="94"/>
        <v>2039.932</v>
      </c>
      <c r="L142" s="19">
        <v>6.8</v>
      </c>
      <c r="M142" s="34">
        <f t="shared" si="87"/>
        <v>1223959.2</v>
      </c>
      <c r="N142" s="35">
        <v>0.2</v>
      </c>
      <c r="O142" s="36">
        <v>22.92</v>
      </c>
      <c r="P142" s="34">
        <f>(J142*0.15*I142+O142*I142)*L142+J142*I142*N142</f>
        <v>313106.28000000003</v>
      </c>
      <c r="Q142" s="37">
        <f t="shared" si="95"/>
        <v>0.25581431145744099</v>
      </c>
      <c r="R142" s="34">
        <f t="shared" si="88"/>
        <v>183593.88</v>
      </c>
      <c r="S142" s="37">
        <v>0.15</v>
      </c>
      <c r="T142" s="18">
        <f t="shared" si="89"/>
        <v>727259.04</v>
      </c>
      <c r="U142" s="22">
        <f t="shared" si="90"/>
        <v>0.59418568854255904</v>
      </c>
      <c r="V142" s="34">
        <f t="shared" si="91"/>
        <v>122395.92</v>
      </c>
      <c r="W142" s="37">
        <v>0.1</v>
      </c>
      <c r="X142" s="36">
        <v>605</v>
      </c>
      <c r="Y142" s="34">
        <f t="shared" si="76"/>
        <v>363000</v>
      </c>
      <c r="Z142" s="37">
        <f t="shared" si="96"/>
        <v>0.29657851340142699</v>
      </c>
      <c r="AA142" s="34">
        <f t="shared" ref="AA142:AA148" si="98">M142*AB142</f>
        <v>73437.551999999996</v>
      </c>
      <c r="AB142" s="37">
        <v>0.06</v>
      </c>
      <c r="AC142" s="18">
        <f t="shared" si="97"/>
        <v>48958.368000000002</v>
      </c>
      <c r="AD142" s="38">
        <v>0.03</v>
      </c>
      <c r="AE142" s="34">
        <v>0</v>
      </c>
      <c r="AF142" s="38">
        <v>0</v>
      </c>
      <c r="AG142" s="34">
        <f t="shared" si="92"/>
        <v>119467.2</v>
      </c>
      <c r="AH142" s="35">
        <f t="shared" si="93"/>
        <v>9.7607175141132096E-2</v>
      </c>
    </row>
    <row r="143" spans="1:39" s="2" customFormat="1" ht="21" hidden="1" customHeight="1">
      <c r="A143" s="29" t="s">
        <v>56</v>
      </c>
      <c r="B143" s="80" t="s">
        <v>72</v>
      </c>
      <c r="C143" s="31">
        <v>9</v>
      </c>
      <c r="D143" s="31" t="s">
        <v>95</v>
      </c>
      <c r="E143" s="31" t="s">
        <v>75</v>
      </c>
      <c r="F143" s="31" t="s">
        <v>79</v>
      </c>
      <c r="G143" s="31" t="s">
        <v>76</v>
      </c>
      <c r="H143" s="31" t="s">
        <v>43</v>
      </c>
      <c r="I143" s="33">
        <v>200</v>
      </c>
      <c r="J143" s="34">
        <v>199.99</v>
      </c>
      <c r="K143" s="34">
        <f t="shared" si="94"/>
        <v>1359.932</v>
      </c>
      <c r="L143" s="19">
        <v>6.8</v>
      </c>
      <c r="M143" s="34">
        <f t="shared" si="87"/>
        <v>271986.40000000002</v>
      </c>
      <c r="N143" s="35">
        <v>0.2</v>
      </c>
      <c r="O143" s="36">
        <v>23.19</v>
      </c>
      <c r="P143" s="34">
        <f>(J143*0.15*I143+O143*I143)*L143+J143*I143*N143</f>
        <v>80335.960000000006</v>
      </c>
      <c r="Q143" s="37">
        <f t="shared" si="95"/>
        <v>0.29536756249577201</v>
      </c>
      <c r="R143" s="34">
        <f t="shared" si="88"/>
        <v>81595.92</v>
      </c>
      <c r="S143" s="37">
        <v>0.3</v>
      </c>
      <c r="T143" s="18">
        <f t="shared" si="89"/>
        <v>110054.52</v>
      </c>
      <c r="U143" s="22">
        <f t="shared" si="90"/>
        <v>0.404632437504228</v>
      </c>
      <c r="V143" s="34">
        <f t="shared" si="91"/>
        <v>54397.279999999999</v>
      </c>
      <c r="W143" s="37">
        <v>0.2</v>
      </c>
      <c r="X143" s="36">
        <v>300</v>
      </c>
      <c r="Y143" s="34">
        <f t="shared" si="76"/>
        <v>60000</v>
      </c>
      <c r="Z143" s="37">
        <f t="shared" si="96"/>
        <v>0.22059926525738</v>
      </c>
      <c r="AA143" s="34">
        <f t="shared" si="98"/>
        <v>16319.183999999999</v>
      </c>
      <c r="AB143" s="37">
        <v>0.06</v>
      </c>
      <c r="AC143" s="18">
        <f t="shared" si="97"/>
        <v>10879.456</v>
      </c>
      <c r="AD143" s="38">
        <v>0.03</v>
      </c>
      <c r="AE143" s="34">
        <v>0</v>
      </c>
      <c r="AF143" s="38">
        <v>0</v>
      </c>
      <c r="AG143" s="34">
        <f t="shared" si="92"/>
        <v>-31541.4</v>
      </c>
      <c r="AH143" s="35">
        <f t="shared" si="93"/>
        <v>-0.11596682775315199</v>
      </c>
    </row>
    <row r="144" spans="1:39" s="2" customFormat="1" ht="21" hidden="1" customHeight="1">
      <c r="A144" s="29" t="s">
        <v>56</v>
      </c>
      <c r="B144" s="80" t="s">
        <v>72</v>
      </c>
      <c r="C144" s="31">
        <v>9</v>
      </c>
      <c r="D144" s="31" t="s">
        <v>74</v>
      </c>
      <c r="E144" s="31" t="s">
        <v>75</v>
      </c>
      <c r="F144" s="31" t="s">
        <v>36</v>
      </c>
      <c r="G144" s="31"/>
      <c r="H144" s="31" t="s">
        <v>43</v>
      </c>
      <c r="I144" s="33">
        <v>800</v>
      </c>
      <c r="J144" s="34">
        <v>299.99</v>
      </c>
      <c r="K144" s="34">
        <f t="shared" si="94"/>
        <v>2039.932</v>
      </c>
      <c r="L144" s="19">
        <v>6.8</v>
      </c>
      <c r="M144" s="34">
        <f t="shared" si="87"/>
        <v>1631945.6</v>
      </c>
      <c r="N144" s="35">
        <v>0.2</v>
      </c>
      <c r="O144" s="36">
        <v>22.92</v>
      </c>
      <c r="P144" s="34">
        <f>(J144*0.15*I144+O144*I144)*L144+J144*I144*N144</f>
        <v>417475.04</v>
      </c>
      <c r="Q144" s="37">
        <f t="shared" si="95"/>
        <v>0.25581431145744099</v>
      </c>
      <c r="R144" s="34">
        <f t="shared" si="88"/>
        <v>244791.84</v>
      </c>
      <c r="S144" s="37">
        <v>0.15</v>
      </c>
      <c r="T144" s="18">
        <f t="shared" si="89"/>
        <v>969678.72</v>
      </c>
      <c r="U144" s="22">
        <f t="shared" si="90"/>
        <v>0.59418568854255904</v>
      </c>
      <c r="V144" s="34">
        <f t="shared" si="91"/>
        <v>163194.56</v>
      </c>
      <c r="W144" s="37">
        <v>0.1</v>
      </c>
      <c r="X144" s="36">
        <v>605</v>
      </c>
      <c r="Y144" s="34">
        <f t="shared" si="76"/>
        <v>484000</v>
      </c>
      <c r="Z144" s="37">
        <f t="shared" si="96"/>
        <v>0.29657851340142699</v>
      </c>
      <c r="AA144" s="34">
        <f t="shared" si="98"/>
        <v>97916.736000000004</v>
      </c>
      <c r="AB144" s="37">
        <v>0.06</v>
      </c>
      <c r="AC144" s="18">
        <f t="shared" si="97"/>
        <v>65277.824000000001</v>
      </c>
      <c r="AD144" s="38">
        <v>0.03</v>
      </c>
      <c r="AE144" s="34">
        <v>0</v>
      </c>
      <c r="AF144" s="38">
        <v>0</v>
      </c>
      <c r="AG144" s="34">
        <f t="shared" si="92"/>
        <v>159289.60000000001</v>
      </c>
      <c r="AH144" s="35">
        <f t="shared" si="93"/>
        <v>9.7607175141132194E-2</v>
      </c>
    </row>
    <row r="145" spans="1:39" s="1" customFormat="1" ht="21" hidden="1" customHeight="1">
      <c r="A145" s="29" t="s">
        <v>56</v>
      </c>
      <c r="B145" s="80" t="s">
        <v>59</v>
      </c>
      <c r="C145" s="31">
        <v>9</v>
      </c>
      <c r="D145" s="31" t="s">
        <v>60</v>
      </c>
      <c r="E145" s="31" t="s">
        <v>35</v>
      </c>
      <c r="F145" s="31" t="s">
        <v>36</v>
      </c>
      <c r="G145" s="31"/>
      <c r="H145" s="31" t="s">
        <v>43</v>
      </c>
      <c r="I145" s="33">
        <v>5000</v>
      </c>
      <c r="J145" s="34">
        <v>69.989999999999995</v>
      </c>
      <c r="K145" s="34">
        <f t="shared" si="94"/>
        <v>475.93200000000002</v>
      </c>
      <c r="L145" s="19">
        <v>6.8</v>
      </c>
      <c r="M145" s="34">
        <f t="shared" si="87"/>
        <v>2379660</v>
      </c>
      <c r="N145" s="35">
        <v>0.08</v>
      </c>
      <c r="O145" s="36">
        <v>11.04</v>
      </c>
      <c r="P145" s="34">
        <f t="shared" ref="P145:P173" si="99">(J145*0.15*I145+O145*I145)*L145+M145*N145</f>
        <v>922681.8</v>
      </c>
      <c r="Q145" s="37">
        <f t="shared" si="95"/>
        <v>0.38773681954564898</v>
      </c>
      <c r="R145" s="34">
        <f t="shared" si="88"/>
        <v>237966</v>
      </c>
      <c r="S145" s="37">
        <v>0.1</v>
      </c>
      <c r="T145" s="18">
        <f t="shared" si="89"/>
        <v>1219012.2</v>
      </c>
      <c r="U145" s="22">
        <f t="shared" si="90"/>
        <v>0.51226318045435104</v>
      </c>
      <c r="V145" s="34">
        <f t="shared" si="91"/>
        <v>71389.8</v>
      </c>
      <c r="W145" s="37">
        <v>0.03</v>
      </c>
      <c r="X145" s="36">
        <v>142</v>
      </c>
      <c r="Y145" s="34">
        <f t="shared" ref="Y145:Y208" si="100">X145*I145</f>
        <v>710000</v>
      </c>
      <c r="Z145" s="37">
        <f t="shared" si="96"/>
        <v>0.29836195086693101</v>
      </c>
      <c r="AA145" s="34">
        <f t="shared" si="98"/>
        <v>142779.6</v>
      </c>
      <c r="AB145" s="37">
        <v>0.06</v>
      </c>
      <c r="AC145" s="18">
        <f t="shared" si="97"/>
        <v>95186.4</v>
      </c>
      <c r="AD145" s="38">
        <v>0.02</v>
      </c>
      <c r="AE145" s="34">
        <v>0</v>
      </c>
      <c r="AF145" s="38">
        <v>0</v>
      </c>
      <c r="AG145" s="34">
        <f t="shared" si="92"/>
        <v>199656.4</v>
      </c>
      <c r="AH145" s="35">
        <f t="shared" si="93"/>
        <v>8.3901229587420106E-2</v>
      </c>
      <c r="AI145" s="13"/>
      <c r="AJ145" s="13"/>
      <c r="AK145" s="13"/>
      <c r="AL145" s="13"/>
      <c r="AM145" s="13"/>
    </row>
    <row r="146" spans="1:39" s="1" customFormat="1" ht="21" hidden="1" customHeight="1">
      <c r="A146" s="29" t="s">
        <v>56</v>
      </c>
      <c r="B146" s="80" t="s">
        <v>59</v>
      </c>
      <c r="C146" s="31">
        <v>9</v>
      </c>
      <c r="D146" s="31" t="s">
        <v>61</v>
      </c>
      <c r="E146" s="31" t="s">
        <v>35</v>
      </c>
      <c r="F146" s="31" t="s">
        <v>36</v>
      </c>
      <c r="G146" s="31"/>
      <c r="H146" s="31" t="s">
        <v>43</v>
      </c>
      <c r="I146" s="33">
        <v>500</v>
      </c>
      <c r="J146" s="34">
        <v>79.989999999999995</v>
      </c>
      <c r="K146" s="34">
        <f t="shared" si="94"/>
        <v>543.93200000000002</v>
      </c>
      <c r="L146" s="19">
        <v>6.8</v>
      </c>
      <c r="M146" s="34">
        <f t="shared" si="87"/>
        <v>271966</v>
      </c>
      <c r="N146" s="35">
        <v>0.08</v>
      </c>
      <c r="O146" s="36">
        <v>15.79</v>
      </c>
      <c r="P146" s="34">
        <f t="shared" si="99"/>
        <v>116238.18</v>
      </c>
      <c r="Q146" s="37">
        <f t="shared" si="95"/>
        <v>0.42739967495936998</v>
      </c>
      <c r="R146" s="34">
        <f t="shared" si="88"/>
        <v>27196.6</v>
      </c>
      <c r="S146" s="37">
        <v>0.1</v>
      </c>
      <c r="T146" s="18">
        <f t="shared" si="89"/>
        <v>128531.22</v>
      </c>
      <c r="U146" s="22">
        <f t="shared" si="90"/>
        <v>0.47260032504062999</v>
      </c>
      <c r="V146" s="34">
        <f t="shared" si="91"/>
        <v>8158.98</v>
      </c>
      <c r="W146" s="37">
        <v>0.03</v>
      </c>
      <c r="X146" s="36">
        <v>170</v>
      </c>
      <c r="Y146" s="34">
        <f t="shared" si="100"/>
        <v>85000</v>
      </c>
      <c r="Z146" s="37">
        <f t="shared" si="96"/>
        <v>0.31253906738342302</v>
      </c>
      <c r="AA146" s="34">
        <f t="shared" si="98"/>
        <v>16317.96</v>
      </c>
      <c r="AB146" s="37">
        <v>0.06</v>
      </c>
      <c r="AC146" s="18">
        <f t="shared" si="97"/>
        <v>10878.64</v>
      </c>
      <c r="AD146" s="38">
        <v>0.02</v>
      </c>
      <c r="AE146" s="34">
        <v>0</v>
      </c>
      <c r="AF146" s="38">
        <v>0</v>
      </c>
      <c r="AG146" s="34">
        <f t="shared" si="92"/>
        <v>8175.6400000000103</v>
      </c>
      <c r="AH146" s="35">
        <f t="shared" si="93"/>
        <v>3.0061257657207199E-2</v>
      </c>
      <c r="AI146" s="13"/>
      <c r="AJ146" s="13"/>
      <c r="AK146" s="13"/>
      <c r="AL146" s="13"/>
      <c r="AM146" s="13"/>
    </row>
    <row r="147" spans="1:39" s="1" customFormat="1" ht="21" hidden="1" customHeight="1">
      <c r="A147" s="29" t="s">
        <v>56</v>
      </c>
      <c r="B147" s="80" t="s">
        <v>59</v>
      </c>
      <c r="C147" s="31">
        <v>9</v>
      </c>
      <c r="D147" s="31" t="s">
        <v>62</v>
      </c>
      <c r="E147" s="31" t="s">
        <v>35</v>
      </c>
      <c r="F147" s="31" t="s">
        <v>36</v>
      </c>
      <c r="G147" s="31"/>
      <c r="H147" s="31" t="s">
        <v>43</v>
      </c>
      <c r="I147" s="33">
        <v>4500</v>
      </c>
      <c r="J147" s="34">
        <v>79.989999999999995</v>
      </c>
      <c r="K147" s="34">
        <f t="shared" si="94"/>
        <v>543.93200000000002</v>
      </c>
      <c r="L147" s="19">
        <v>6.8</v>
      </c>
      <c r="M147" s="34">
        <f t="shared" si="87"/>
        <v>2447694</v>
      </c>
      <c r="N147" s="35">
        <v>0.08</v>
      </c>
      <c r="O147" s="36">
        <v>15.79</v>
      </c>
      <c r="P147" s="34">
        <f t="shared" si="99"/>
        <v>1046143.62</v>
      </c>
      <c r="Q147" s="37">
        <f t="shared" si="95"/>
        <v>0.42739967495936998</v>
      </c>
      <c r="R147" s="34">
        <f t="shared" si="88"/>
        <v>244769.4</v>
      </c>
      <c r="S147" s="37">
        <v>0.1</v>
      </c>
      <c r="T147" s="18">
        <f t="shared" si="89"/>
        <v>1156780.98</v>
      </c>
      <c r="U147" s="22">
        <f t="shared" si="90"/>
        <v>0.47260032504062999</v>
      </c>
      <c r="V147" s="34">
        <f t="shared" si="91"/>
        <v>73430.820000000007</v>
      </c>
      <c r="W147" s="37">
        <v>0.03</v>
      </c>
      <c r="X147" s="36">
        <v>170</v>
      </c>
      <c r="Y147" s="34">
        <f t="shared" si="100"/>
        <v>765000</v>
      </c>
      <c r="Z147" s="37">
        <f t="shared" si="96"/>
        <v>0.31253906738342302</v>
      </c>
      <c r="AA147" s="34">
        <f t="shared" si="98"/>
        <v>146861.64000000001</v>
      </c>
      <c r="AB147" s="37">
        <v>0.06</v>
      </c>
      <c r="AC147" s="18">
        <f t="shared" si="97"/>
        <v>97907.76</v>
      </c>
      <c r="AD147" s="38">
        <v>0.02</v>
      </c>
      <c r="AE147" s="34">
        <v>0</v>
      </c>
      <c r="AF147" s="38">
        <v>0</v>
      </c>
      <c r="AG147" s="34">
        <f t="shared" si="92"/>
        <v>73580.759999999893</v>
      </c>
      <c r="AH147" s="35">
        <f t="shared" si="93"/>
        <v>3.0061257657207099E-2</v>
      </c>
      <c r="AI147" s="13"/>
      <c r="AJ147" s="13"/>
      <c r="AK147" s="13"/>
      <c r="AL147" s="13"/>
      <c r="AM147" s="13"/>
    </row>
    <row r="148" spans="1:39" s="1" customFormat="1" ht="21" hidden="1" customHeight="1">
      <c r="A148" s="29" t="s">
        <v>56</v>
      </c>
      <c r="B148" s="80" t="s">
        <v>59</v>
      </c>
      <c r="C148" s="31">
        <v>9</v>
      </c>
      <c r="D148" s="31" t="s">
        <v>63</v>
      </c>
      <c r="E148" s="31" t="s">
        <v>35</v>
      </c>
      <c r="F148" s="31" t="s">
        <v>36</v>
      </c>
      <c r="G148" s="31"/>
      <c r="H148" s="31" t="s">
        <v>43</v>
      </c>
      <c r="I148" s="33">
        <v>600</v>
      </c>
      <c r="J148" s="34">
        <v>79.989999999999995</v>
      </c>
      <c r="K148" s="34">
        <f t="shared" si="94"/>
        <v>543.93200000000002</v>
      </c>
      <c r="L148" s="19">
        <v>6.8</v>
      </c>
      <c r="M148" s="34">
        <f t="shared" si="87"/>
        <v>326359.2</v>
      </c>
      <c r="N148" s="35">
        <v>0.08</v>
      </c>
      <c r="O148" s="36">
        <v>14.89</v>
      </c>
      <c r="P148" s="34">
        <f t="shared" si="99"/>
        <v>135813.81599999999</v>
      </c>
      <c r="Q148" s="37">
        <f t="shared" si="95"/>
        <v>0.41614826853356701</v>
      </c>
      <c r="R148" s="34">
        <f t="shared" si="88"/>
        <v>32635.919999999998</v>
      </c>
      <c r="S148" s="37">
        <v>0.1</v>
      </c>
      <c r="T148" s="18">
        <f t="shared" si="89"/>
        <v>157909.46400000001</v>
      </c>
      <c r="U148" s="22">
        <f t="shared" si="90"/>
        <v>0.48385173146643301</v>
      </c>
      <c r="V148" s="34">
        <f t="shared" si="91"/>
        <v>9790.7759999999998</v>
      </c>
      <c r="W148" s="37">
        <v>0.03</v>
      </c>
      <c r="X148" s="36">
        <v>155</v>
      </c>
      <c r="Y148" s="34">
        <f t="shared" si="100"/>
        <v>93000</v>
      </c>
      <c r="Z148" s="37">
        <f t="shared" si="96"/>
        <v>0.28496209084959201</v>
      </c>
      <c r="AA148" s="34">
        <f t="shared" si="98"/>
        <v>19581.552</v>
      </c>
      <c r="AB148" s="37">
        <v>0.06</v>
      </c>
      <c r="AC148" s="18">
        <f>M148*AD148</f>
        <v>9790.7759999999998</v>
      </c>
      <c r="AD148" s="38">
        <v>0.03</v>
      </c>
      <c r="AE148" s="34">
        <v>0</v>
      </c>
      <c r="AF148" s="38">
        <v>0</v>
      </c>
      <c r="AG148" s="34">
        <f t="shared" si="92"/>
        <v>25746.36</v>
      </c>
      <c r="AH148" s="35">
        <f t="shared" si="93"/>
        <v>7.8889640616841797E-2</v>
      </c>
      <c r="AI148" s="13"/>
      <c r="AJ148" s="13"/>
      <c r="AK148" s="13"/>
      <c r="AL148" s="13"/>
      <c r="AM148" s="13"/>
    </row>
    <row r="149" spans="1:39" s="1" customFormat="1" ht="21" hidden="1" customHeight="1">
      <c r="A149" s="49" t="s">
        <v>32</v>
      </c>
      <c r="B149" s="49" t="s">
        <v>33</v>
      </c>
      <c r="C149" s="59">
        <v>10</v>
      </c>
      <c r="D149" s="60" t="s">
        <v>87</v>
      </c>
      <c r="E149" s="60" t="s">
        <v>35</v>
      </c>
      <c r="F149" s="60" t="s">
        <v>36</v>
      </c>
      <c r="G149" s="60"/>
      <c r="H149" s="60" t="s">
        <v>37</v>
      </c>
      <c r="I149" s="51">
        <v>3000</v>
      </c>
      <c r="J149" s="52">
        <v>79.989999999999995</v>
      </c>
      <c r="K149" s="52">
        <f t="shared" si="94"/>
        <v>543.93200000000002</v>
      </c>
      <c r="L149" s="53">
        <v>6.8</v>
      </c>
      <c r="M149" s="52">
        <f t="shared" si="87"/>
        <v>1631796</v>
      </c>
      <c r="N149" s="54">
        <v>0.15</v>
      </c>
      <c r="O149" s="55">
        <v>9.8000000000000007</v>
      </c>
      <c r="P149" s="52">
        <f t="shared" si="99"/>
        <v>689458.8</v>
      </c>
      <c r="Q149" s="56">
        <f t="shared" si="95"/>
        <v>0.42251531441430201</v>
      </c>
      <c r="R149" s="52">
        <f t="shared" si="88"/>
        <v>244769.4</v>
      </c>
      <c r="S149" s="56">
        <v>0.15</v>
      </c>
      <c r="T149" s="52">
        <f t="shared" si="89"/>
        <v>697567.8</v>
      </c>
      <c r="U149" s="56">
        <f t="shared" si="90"/>
        <v>0.42748468558569802</v>
      </c>
      <c r="V149" s="55">
        <f t="shared" si="91"/>
        <v>48953.88</v>
      </c>
      <c r="W149" s="56">
        <v>0.03</v>
      </c>
      <c r="X149" s="55">
        <v>150</v>
      </c>
      <c r="Y149" s="52">
        <f t="shared" si="100"/>
        <v>450000</v>
      </c>
      <c r="Z149" s="56">
        <f t="shared" si="96"/>
        <v>0.27576976533831399</v>
      </c>
      <c r="AA149" s="61">
        <f>2.8*I149*L149</f>
        <v>57120</v>
      </c>
      <c r="AB149" s="54">
        <f t="shared" ref="AB149:AB154" si="101">AA149/M149</f>
        <v>3.5004375546943398E-2</v>
      </c>
      <c r="AC149" s="52">
        <f>M149*AD149</f>
        <v>48953.88</v>
      </c>
      <c r="AD149" s="57">
        <v>0.03</v>
      </c>
      <c r="AE149" s="52">
        <v>0</v>
      </c>
      <c r="AF149" s="57">
        <v>0</v>
      </c>
      <c r="AG149" s="52">
        <f t="shared" si="92"/>
        <v>92540.04</v>
      </c>
      <c r="AH149" s="54">
        <f t="shared" si="93"/>
        <v>5.6710544700440499E-2</v>
      </c>
    </row>
    <row r="150" spans="1:39" s="1" customFormat="1" ht="21" hidden="1" customHeight="1">
      <c r="A150" s="49" t="s">
        <v>32</v>
      </c>
      <c r="B150" s="49" t="s">
        <v>33</v>
      </c>
      <c r="C150" s="59">
        <v>10</v>
      </c>
      <c r="D150" s="60" t="s">
        <v>94</v>
      </c>
      <c r="E150" s="60" t="s">
        <v>35</v>
      </c>
      <c r="F150" s="60" t="s">
        <v>36</v>
      </c>
      <c r="G150" s="60"/>
      <c r="H150" s="60" t="s">
        <v>37</v>
      </c>
      <c r="I150" s="51">
        <v>1800</v>
      </c>
      <c r="J150" s="52">
        <v>59.99</v>
      </c>
      <c r="K150" s="52">
        <f t="shared" si="94"/>
        <v>407.93200000000002</v>
      </c>
      <c r="L150" s="53">
        <v>6.8</v>
      </c>
      <c r="M150" s="52">
        <f t="shared" si="87"/>
        <v>734277.6</v>
      </c>
      <c r="N150" s="54">
        <v>0.12</v>
      </c>
      <c r="O150" s="55">
        <v>9.8000000000000007</v>
      </c>
      <c r="P150" s="52">
        <f t="shared" si="99"/>
        <v>318206.95199999999</v>
      </c>
      <c r="Q150" s="56">
        <f t="shared" si="95"/>
        <v>0.433360560093349</v>
      </c>
      <c r="R150" s="52">
        <f t="shared" si="88"/>
        <v>124827.192</v>
      </c>
      <c r="S150" s="56">
        <v>0.17</v>
      </c>
      <c r="T150" s="52">
        <f t="shared" si="89"/>
        <v>291243.45600000001</v>
      </c>
      <c r="U150" s="56">
        <f t="shared" si="90"/>
        <v>0.39663943990665101</v>
      </c>
      <c r="V150" s="55">
        <f t="shared" si="91"/>
        <v>22028.328000000001</v>
      </c>
      <c r="W150" s="56">
        <v>0.03</v>
      </c>
      <c r="X150" s="55">
        <v>95</v>
      </c>
      <c r="Y150" s="52">
        <f t="shared" si="100"/>
        <v>171000</v>
      </c>
      <c r="Z150" s="56">
        <f t="shared" si="96"/>
        <v>0.23288195091338801</v>
      </c>
      <c r="AA150" s="61">
        <f>2.67*I150*L150</f>
        <v>32680.799999999999</v>
      </c>
      <c r="AB150" s="56">
        <f t="shared" si="101"/>
        <v>4.4507417902983799E-2</v>
      </c>
      <c r="AC150" s="52">
        <f>M150*AD150</f>
        <v>22028.328000000001</v>
      </c>
      <c r="AD150" s="57">
        <v>0.03</v>
      </c>
      <c r="AE150" s="52">
        <v>0</v>
      </c>
      <c r="AF150" s="57">
        <v>0</v>
      </c>
      <c r="AG150" s="52">
        <f t="shared" si="92"/>
        <v>43506</v>
      </c>
      <c r="AH150" s="54">
        <f t="shared" si="93"/>
        <v>5.9250071090279799E-2</v>
      </c>
    </row>
    <row r="151" spans="1:39" s="2" customFormat="1" ht="21" hidden="1" customHeight="1">
      <c r="A151" s="49" t="s">
        <v>32</v>
      </c>
      <c r="B151" s="50" t="s">
        <v>38</v>
      </c>
      <c r="C151" s="59">
        <v>10</v>
      </c>
      <c r="D151" s="60" t="s">
        <v>88</v>
      </c>
      <c r="E151" s="60" t="s">
        <v>35</v>
      </c>
      <c r="F151" s="60" t="s">
        <v>36</v>
      </c>
      <c r="G151" s="60"/>
      <c r="H151" s="60" t="s">
        <v>70</v>
      </c>
      <c r="I151" s="51">
        <v>900</v>
      </c>
      <c r="J151" s="52">
        <v>29.99</v>
      </c>
      <c r="K151" s="61">
        <f t="shared" si="94"/>
        <v>203.93199999999999</v>
      </c>
      <c r="L151" s="53">
        <v>6.8</v>
      </c>
      <c r="M151" s="61">
        <f t="shared" si="87"/>
        <v>183538.8</v>
      </c>
      <c r="N151" s="54">
        <v>0.12</v>
      </c>
      <c r="O151" s="55">
        <v>5.8</v>
      </c>
      <c r="P151" s="52">
        <f t="shared" si="99"/>
        <v>85051.475999999995</v>
      </c>
      <c r="Q151" s="56">
        <f t="shared" si="95"/>
        <v>0.46339779926642199</v>
      </c>
      <c r="R151" s="61">
        <f t="shared" si="88"/>
        <v>27530.82</v>
      </c>
      <c r="S151" s="56">
        <v>0.15</v>
      </c>
      <c r="T151" s="52">
        <f t="shared" si="89"/>
        <v>70956.504000000001</v>
      </c>
      <c r="U151" s="56">
        <f t="shared" si="90"/>
        <v>0.38660220073357798</v>
      </c>
      <c r="V151" s="55">
        <f t="shared" si="91"/>
        <v>5506.1639999999998</v>
      </c>
      <c r="W151" s="56">
        <v>0.03</v>
      </c>
      <c r="X151" s="55">
        <v>40</v>
      </c>
      <c r="Y151" s="52">
        <f t="shared" si="100"/>
        <v>36000</v>
      </c>
      <c r="Z151" s="56">
        <f t="shared" si="96"/>
        <v>0.19614381264343</v>
      </c>
      <c r="AA151" s="61">
        <f>0.91*I151*L151</f>
        <v>5569.2</v>
      </c>
      <c r="AB151" s="56">
        <f t="shared" si="101"/>
        <v>3.03434478159386E-2</v>
      </c>
      <c r="AC151" s="52">
        <f t="shared" ref="AC151:AC165" si="102">M151*0.04</f>
        <v>7341.5519999999997</v>
      </c>
      <c r="AD151" s="57">
        <f>AC151/M151</f>
        <v>0.04</v>
      </c>
      <c r="AE151" s="52">
        <v>0</v>
      </c>
      <c r="AF151" s="57">
        <f t="shared" ref="AF151:AF156" si="103">AE151/M151</f>
        <v>0</v>
      </c>
      <c r="AG151" s="52">
        <f t="shared" si="92"/>
        <v>16539.588</v>
      </c>
      <c r="AH151" s="54">
        <f t="shared" si="93"/>
        <v>9.0114940274209104E-2</v>
      </c>
    </row>
    <row r="152" spans="1:39" s="2" customFormat="1" ht="21" hidden="1" customHeight="1">
      <c r="A152" s="49" t="s">
        <v>32</v>
      </c>
      <c r="B152" s="50" t="s">
        <v>38</v>
      </c>
      <c r="C152" s="59">
        <v>10</v>
      </c>
      <c r="D152" s="60" t="s">
        <v>89</v>
      </c>
      <c r="E152" s="60" t="s">
        <v>35</v>
      </c>
      <c r="F152" s="60" t="s">
        <v>36</v>
      </c>
      <c r="G152" s="60"/>
      <c r="H152" s="60" t="s">
        <v>70</v>
      </c>
      <c r="I152" s="51">
        <v>1800</v>
      </c>
      <c r="J152" s="52">
        <v>49.99</v>
      </c>
      <c r="K152" s="61">
        <f t="shared" si="94"/>
        <v>339.93200000000002</v>
      </c>
      <c r="L152" s="53">
        <v>6.8</v>
      </c>
      <c r="M152" s="61">
        <f t="shared" si="87"/>
        <v>611877.6</v>
      </c>
      <c r="N152" s="54">
        <v>0.12</v>
      </c>
      <c r="O152" s="55">
        <v>6.35</v>
      </c>
      <c r="P152" s="52">
        <f t="shared" si="99"/>
        <v>242930.95199999999</v>
      </c>
      <c r="Q152" s="56">
        <f t="shared" si="95"/>
        <v>0.39702540508101603</v>
      </c>
      <c r="R152" s="61">
        <f t="shared" si="88"/>
        <v>91781.64</v>
      </c>
      <c r="S152" s="56">
        <v>0.15</v>
      </c>
      <c r="T152" s="52">
        <f t="shared" si="89"/>
        <v>277165.00799999997</v>
      </c>
      <c r="U152" s="56">
        <f t="shared" si="90"/>
        <v>0.45297459491898401</v>
      </c>
      <c r="V152" s="55">
        <f t="shared" si="91"/>
        <v>18356.328000000001</v>
      </c>
      <c r="W152" s="56">
        <v>0.03</v>
      </c>
      <c r="X152" s="55">
        <v>80</v>
      </c>
      <c r="Y152" s="52">
        <f t="shared" si="100"/>
        <v>144000</v>
      </c>
      <c r="Z152" s="56">
        <f t="shared" si="96"/>
        <v>0.235341185884236</v>
      </c>
      <c r="AA152" s="61">
        <f>1.55*I152*L152</f>
        <v>18972</v>
      </c>
      <c r="AB152" s="56">
        <f t="shared" si="101"/>
        <v>3.10062012402481E-2</v>
      </c>
      <c r="AC152" s="52">
        <f t="shared" si="102"/>
        <v>24475.103999999999</v>
      </c>
      <c r="AD152" s="57">
        <f>AC152/M152</f>
        <v>0.04</v>
      </c>
      <c r="AE152" s="52">
        <v>0</v>
      </c>
      <c r="AF152" s="57">
        <f t="shared" si="103"/>
        <v>0</v>
      </c>
      <c r="AG152" s="52">
        <f t="shared" si="92"/>
        <v>71361.576000000001</v>
      </c>
      <c r="AH152" s="54">
        <f t="shared" si="93"/>
        <v>0.1166272077945</v>
      </c>
    </row>
    <row r="153" spans="1:39" s="2" customFormat="1" ht="21" hidden="1" customHeight="1">
      <c r="A153" s="49" t="s">
        <v>32</v>
      </c>
      <c r="B153" s="50" t="s">
        <v>90</v>
      </c>
      <c r="C153" s="59">
        <v>10</v>
      </c>
      <c r="D153" s="60" t="s">
        <v>91</v>
      </c>
      <c r="E153" s="60" t="s">
        <v>35</v>
      </c>
      <c r="F153" s="60" t="s">
        <v>36</v>
      </c>
      <c r="G153" s="60"/>
      <c r="H153" s="60" t="s">
        <v>37</v>
      </c>
      <c r="I153" s="51">
        <v>1800</v>
      </c>
      <c r="J153" s="52">
        <v>29.99</v>
      </c>
      <c r="K153" s="61">
        <f t="shared" si="94"/>
        <v>203.93199999999999</v>
      </c>
      <c r="L153" s="53">
        <v>6.8</v>
      </c>
      <c r="M153" s="61">
        <f t="shared" si="87"/>
        <v>367077.6</v>
      </c>
      <c r="N153" s="54">
        <v>0.08</v>
      </c>
      <c r="O153" s="55">
        <v>4.54</v>
      </c>
      <c r="P153" s="52">
        <f t="shared" si="99"/>
        <v>139997.448</v>
      </c>
      <c r="Q153" s="56">
        <f t="shared" si="95"/>
        <v>0.38138379459819899</v>
      </c>
      <c r="R153" s="61">
        <f t="shared" si="88"/>
        <v>66073.967999999993</v>
      </c>
      <c r="S153" s="56">
        <v>0.18</v>
      </c>
      <c r="T153" s="52">
        <f t="shared" si="89"/>
        <v>161006.18400000001</v>
      </c>
      <c r="U153" s="56">
        <f t="shared" si="90"/>
        <v>0.43861620540180102</v>
      </c>
      <c r="V153" s="55">
        <f t="shared" si="91"/>
        <v>11012.328</v>
      </c>
      <c r="W153" s="56">
        <v>0.03</v>
      </c>
      <c r="X153" s="55">
        <v>36</v>
      </c>
      <c r="Y153" s="52">
        <f t="shared" si="100"/>
        <v>64800</v>
      </c>
      <c r="Z153" s="56">
        <f t="shared" si="96"/>
        <v>0.176529431379087</v>
      </c>
      <c r="AA153" s="61">
        <f>1.3*I153*L153</f>
        <v>15912</v>
      </c>
      <c r="AB153" s="56">
        <f t="shared" si="101"/>
        <v>4.3347782594198102E-2</v>
      </c>
      <c r="AC153" s="52">
        <f t="shared" si="102"/>
        <v>14683.103999999999</v>
      </c>
      <c r="AD153" s="57">
        <v>0.02</v>
      </c>
      <c r="AE153" s="52">
        <v>0</v>
      </c>
      <c r="AF153" s="57">
        <f t="shared" si="103"/>
        <v>0</v>
      </c>
      <c r="AG153" s="52">
        <f t="shared" si="92"/>
        <v>54598.752</v>
      </c>
      <c r="AH153" s="54">
        <f t="shared" si="93"/>
        <v>0.14873899142851499</v>
      </c>
    </row>
    <row r="154" spans="1:39" s="2" customFormat="1" ht="21" hidden="1" customHeight="1">
      <c r="A154" s="49" t="s">
        <v>32</v>
      </c>
      <c r="B154" s="49" t="s">
        <v>40</v>
      </c>
      <c r="C154" s="59">
        <v>10</v>
      </c>
      <c r="D154" s="60" t="s">
        <v>41</v>
      </c>
      <c r="E154" s="60" t="s">
        <v>42</v>
      </c>
      <c r="F154" s="60" t="s">
        <v>36</v>
      </c>
      <c r="G154" s="60"/>
      <c r="H154" s="60" t="s">
        <v>43</v>
      </c>
      <c r="I154" s="51">
        <v>690</v>
      </c>
      <c r="J154" s="52">
        <v>71.989999999999995</v>
      </c>
      <c r="K154" s="52">
        <f t="shared" si="94"/>
        <v>489.53199999999998</v>
      </c>
      <c r="L154" s="53">
        <v>6.8</v>
      </c>
      <c r="M154" s="52">
        <f t="shared" si="87"/>
        <v>337777.08</v>
      </c>
      <c r="N154" s="54">
        <v>0.04</v>
      </c>
      <c r="O154" s="55">
        <v>17.690000000000001</v>
      </c>
      <c r="P154" s="52">
        <f t="shared" si="99"/>
        <v>147179.12520000001</v>
      </c>
      <c r="Q154" s="56">
        <f t="shared" si="95"/>
        <v>0.435728573412974</v>
      </c>
      <c r="R154" s="52">
        <f t="shared" si="88"/>
        <v>27022.166399999998</v>
      </c>
      <c r="S154" s="56">
        <v>0.08</v>
      </c>
      <c r="T154" s="52">
        <f t="shared" si="89"/>
        <v>163575.78839999999</v>
      </c>
      <c r="U154" s="56">
        <f t="shared" si="90"/>
        <v>0.48427142658702599</v>
      </c>
      <c r="V154" s="55">
        <f t="shared" si="91"/>
        <v>6755.5415999999996</v>
      </c>
      <c r="W154" s="56">
        <v>0.02</v>
      </c>
      <c r="X154" s="55">
        <v>129.5</v>
      </c>
      <c r="Y154" s="52">
        <f t="shared" si="100"/>
        <v>89355</v>
      </c>
      <c r="Z154" s="56">
        <f t="shared" si="96"/>
        <v>0.26453837542795999</v>
      </c>
      <c r="AA154" s="52">
        <f>10.13*I154*L154</f>
        <v>47529.96</v>
      </c>
      <c r="AB154" s="56">
        <f t="shared" si="101"/>
        <v>0.14071398805389601</v>
      </c>
      <c r="AC154" s="52">
        <f t="shared" si="102"/>
        <v>13511.083199999999</v>
      </c>
      <c r="AD154" s="57">
        <f t="shared" ref="AD154:AD165" si="104">AC154/M154</f>
        <v>0.04</v>
      </c>
      <c r="AE154" s="52">
        <v>0</v>
      </c>
      <c r="AF154" s="57">
        <f t="shared" si="103"/>
        <v>0</v>
      </c>
      <c r="AG154" s="52">
        <f t="shared" si="92"/>
        <v>6424.2036000000198</v>
      </c>
      <c r="AH154" s="54">
        <f t="shared" si="93"/>
        <v>1.90190631051699E-2</v>
      </c>
    </row>
    <row r="155" spans="1:39" s="1" customFormat="1" ht="21" hidden="1" customHeight="1">
      <c r="A155" s="49" t="s">
        <v>32</v>
      </c>
      <c r="B155" s="49" t="s">
        <v>40</v>
      </c>
      <c r="C155" s="59">
        <v>10</v>
      </c>
      <c r="D155" s="60" t="s">
        <v>44</v>
      </c>
      <c r="E155" s="60" t="s">
        <v>42</v>
      </c>
      <c r="F155" s="60" t="s">
        <v>36</v>
      </c>
      <c r="G155" s="60"/>
      <c r="H155" s="60" t="s">
        <v>43</v>
      </c>
      <c r="I155" s="51">
        <v>600</v>
      </c>
      <c r="J155" s="52">
        <v>119.99</v>
      </c>
      <c r="K155" s="52">
        <f t="shared" si="94"/>
        <v>815.93200000000002</v>
      </c>
      <c r="L155" s="53">
        <v>6.8</v>
      </c>
      <c r="M155" s="52">
        <f t="shared" si="87"/>
        <v>489559.2</v>
      </c>
      <c r="N155" s="54">
        <v>0.04</v>
      </c>
      <c r="O155" s="55">
        <v>19.59</v>
      </c>
      <c r="P155" s="52">
        <f t="shared" si="99"/>
        <v>172943.448</v>
      </c>
      <c r="Q155" s="56">
        <f t="shared" si="95"/>
        <v>0.35326360530044199</v>
      </c>
      <c r="R155" s="52">
        <f t="shared" si="88"/>
        <v>39164.735999999997</v>
      </c>
      <c r="S155" s="56">
        <v>0.08</v>
      </c>
      <c r="T155" s="52">
        <f t="shared" si="89"/>
        <v>277451.016</v>
      </c>
      <c r="U155" s="56">
        <f t="shared" si="90"/>
        <v>0.56673639469955805</v>
      </c>
      <c r="V155" s="55">
        <f t="shared" si="91"/>
        <v>9791.1839999999993</v>
      </c>
      <c r="W155" s="56">
        <v>0.02</v>
      </c>
      <c r="X155" s="55">
        <v>163.5</v>
      </c>
      <c r="Y155" s="52">
        <f t="shared" si="100"/>
        <v>98100</v>
      </c>
      <c r="Z155" s="56">
        <f t="shared" si="96"/>
        <v>0.200384345754303</v>
      </c>
      <c r="AA155" s="52">
        <f>M155*AB155</f>
        <v>44060.328000000001</v>
      </c>
      <c r="AB155" s="56">
        <v>0.09</v>
      </c>
      <c r="AC155" s="52">
        <f t="shared" si="102"/>
        <v>19582.367999999999</v>
      </c>
      <c r="AD155" s="57">
        <f t="shared" si="104"/>
        <v>0.04</v>
      </c>
      <c r="AE155" s="52">
        <v>0</v>
      </c>
      <c r="AF155" s="57">
        <f t="shared" si="103"/>
        <v>0</v>
      </c>
      <c r="AG155" s="52">
        <f t="shared" si="92"/>
        <v>105917.136</v>
      </c>
      <c r="AH155" s="54">
        <f t="shared" si="93"/>
        <v>0.216352048945255</v>
      </c>
      <c r="AI155" s="13"/>
      <c r="AJ155" s="13"/>
      <c r="AK155" s="13"/>
      <c r="AL155" s="13"/>
      <c r="AM155" s="13"/>
    </row>
    <row r="156" spans="1:39" s="1" customFormat="1" ht="21" hidden="1" customHeight="1">
      <c r="A156" s="49" t="s">
        <v>32</v>
      </c>
      <c r="B156" s="49" t="s">
        <v>40</v>
      </c>
      <c r="C156" s="59">
        <v>10</v>
      </c>
      <c r="D156" s="60" t="s">
        <v>45</v>
      </c>
      <c r="E156" s="60" t="s">
        <v>42</v>
      </c>
      <c r="F156" s="60" t="s">
        <v>36</v>
      </c>
      <c r="G156" s="60"/>
      <c r="H156" s="60" t="s">
        <v>43</v>
      </c>
      <c r="I156" s="51">
        <v>150</v>
      </c>
      <c r="J156" s="52">
        <v>149.99</v>
      </c>
      <c r="K156" s="52">
        <f t="shared" si="94"/>
        <v>1019.932</v>
      </c>
      <c r="L156" s="53">
        <v>6.8</v>
      </c>
      <c r="M156" s="52">
        <f t="shared" si="87"/>
        <v>152989.79999999999</v>
      </c>
      <c r="N156" s="54">
        <v>0.04</v>
      </c>
      <c r="O156" s="55">
        <v>23.57</v>
      </c>
      <c r="P156" s="52">
        <f t="shared" si="99"/>
        <v>53109.462</v>
      </c>
      <c r="Q156" s="56">
        <f t="shared" si="95"/>
        <v>0.34714380958730601</v>
      </c>
      <c r="R156" s="52">
        <f t="shared" si="88"/>
        <v>12239.183999999999</v>
      </c>
      <c r="S156" s="56">
        <v>0.08</v>
      </c>
      <c r="T156" s="52">
        <f t="shared" si="89"/>
        <v>87641.153999999995</v>
      </c>
      <c r="U156" s="56">
        <f t="shared" si="90"/>
        <v>0.57285619041269398</v>
      </c>
      <c r="V156" s="55">
        <f t="shared" si="91"/>
        <v>3059.7959999999998</v>
      </c>
      <c r="W156" s="56">
        <v>0.02</v>
      </c>
      <c r="X156" s="55">
        <v>241</v>
      </c>
      <c r="Y156" s="52">
        <f t="shared" si="100"/>
        <v>36150</v>
      </c>
      <c r="Z156" s="56">
        <f t="shared" si="96"/>
        <v>0.23629026248808699</v>
      </c>
      <c r="AA156" s="52">
        <f>M156*AB156</f>
        <v>12239.183999999999</v>
      </c>
      <c r="AB156" s="56">
        <v>0.08</v>
      </c>
      <c r="AC156" s="52">
        <f t="shared" si="102"/>
        <v>6119.5919999999996</v>
      </c>
      <c r="AD156" s="57">
        <f t="shared" si="104"/>
        <v>0.04</v>
      </c>
      <c r="AE156" s="52">
        <v>0</v>
      </c>
      <c r="AF156" s="57">
        <f t="shared" si="103"/>
        <v>0</v>
      </c>
      <c r="AG156" s="52">
        <f t="shared" si="92"/>
        <v>30072.581999999999</v>
      </c>
      <c r="AH156" s="54">
        <f t="shared" si="93"/>
        <v>0.196565927924607</v>
      </c>
      <c r="AI156" s="13"/>
      <c r="AJ156" s="13"/>
      <c r="AK156" s="13"/>
      <c r="AL156" s="13"/>
      <c r="AM156" s="13"/>
    </row>
    <row r="157" spans="1:39" s="2" customFormat="1" ht="21" hidden="1" customHeight="1">
      <c r="A157" s="49" t="s">
        <v>32</v>
      </c>
      <c r="B157" s="49" t="s">
        <v>46</v>
      </c>
      <c r="C157" s="59">
        <v>10</v>
      </c>
      <c r="D157" s="60" t="s">
        <v>47</v>
      </c>
      <c r="E157" s="60" t="s">
        <v>42</v>
      </c>
      <c r="F157" s="60" t="s">
        <v>36</v>
      </c>
      <c r="G157" s="60"/>
      <c r="H157" s="60" t="s">
        <v>43</v>
      </c>
      <c r="I157" s="51">
        <v>270</v>
      </c>
      <c r="J157" s="52">
        <v>112.99</v>
      </c>
      <c r="K157" s="52">
        <f t="shared" si="94"/>
        <v>768.33199999999999</v>
      </c>
      <c r="L157" s="53">
        <v>6.8</v>
      </c>
      <c r="M157" s="52">
        <f t="shared" si="87"/>
        <v>207449.64</v>
      </c>
      <c r="N157" s="54">
        <v>0.04</v>
      </c>
      <c r="O157" s="55">
        <v>23.57</v>
      </c>
      <c r="P157" s="52">
        <f t="shared" si="99"/>
        <v>82689.9516</v>
      </c>
      <c r="Q157" s="56">
        <f t="shared" si="95"/>
        <v>0.39860253119745098</v>
      </c>
      <c r="R157" s="52">
        <f t="shared" si="88"/>
        <v>20744.964</v>
      </c>
      <c r="S157" s="56">
        <v>0.1</v>
      </c>
      <c r="T157" s="52">
        <f t="shared" si="89"/>
        <v>104014.72440000001</v>
      </c>
      <c r="U157" s="56">
        <f t="shared" si="90"/>
        <v>0.50139746880254898</v>
      </c>
      <c r="V157" s="55">
        <f t="shared" si="91"/>
        <v>4148.9928</v>
      </c>
      <c r="W157" s="56">
        <v>0.02</v>
      </c>
      <c r="X157" s="55">
        <v>176</v>
      </c>
      <c r="Y157" s="52">
        <f t="shared" si="100"/>
        <v>47520</v>
      </c>
      <c r="Z157" s="56">
        <v>0.28000000000000003</v>
      </c>
      <c r="AA157" s="52">
        <f>M157*AB157</f>
        <v>14521.4748</v>
      </c>
      <c r="AB157" s="56">
        <v>7.0000000000000007E-2</v>
      </c>
      <c r="AC157" s="52">
        <f t="shared" si="102"/>
        <v>8297.9856</v>
      </c>
      <c r="AD157" s="57">
        <f t="shared" si="104"/>
        <v>0.04</v>
      </c>
      <c r="AE157" s="52">
        <v>0</v>
      </c>
      <c r="AF157" s="57">
        <v>0</v>
      </c>
      <c r="AG157" s="52">
        <f t="shared" si="92"/>
        <v>29526.271199999999</v>
      </c>
      <c r="AH157" s="54">
        <f t="shared" si="93"/>
        <v>0.142329826168896</v>
      </c>
    </row>
    <row r="158" spans="1:39" s="2" customFormat="1" ht="21" hidden="1" customHeight="1">
      <c r="A158" s="49" t="s">
        <v>32</v>
      </c>
      <c r="B158" s="49" t="s">
        <v>46</v>
      </c>
      <c r="C158" s="59">
        <v>10</v>
      </c>
      <c r="D158" s="60" t="s">
        <v>48</v>
      </c>
      <c r="E158" s="60" t="s">
        <v>42</v>
      </c>
      <c r="F158" s="60" t="s">
        <v>36</v>
      </c>
      <c r="G158" s="60"/>
      <c r="H158" s="60" t="s">
        <v>43</v>
      </c>
      <c r="I158" s="51">
        <v>180</v>
      </c>
      <c r="J158" s="52">
        <v>159.99</v>
      </c>
      <c r="K158" s="52">
        <f t="shared" si="94"/>
        <v>1087.932</v>
      </c>
      <c r="L158" s="53">
        <v>6.8</v>
      </c>
      <c r="M158" s="52">
        <f t="shared" si="87"/>
        <v>195827.76</v>
      </c>
      <c r="N158" s="54">
        <v>0.04</v>
      </c>
      <c r="O158" s="55">
        <v>29.27</v>
      </c>
      <c r="P158" s="52">
        <f t="shared" si="99"/>
        <v>73033.754400000005</v>
      </c>
      <c r="Q158" s="56">
        <f t="shared" si="95"/>
        <v>0.37294893430839399</v>
      </c>
      <c r="R158" s="52">
        <f t="shared" si="88"/>
        <v>19582.776000000002</v>
      </c>
      <c r="S158" s="56">
        <v>0.1</v>
      </c>
      <c r="T158" s="52">
        <f t="shared" si="89"/>
        <v>103211.22960000001</v>
      </c>
      <c r="U158" s="56">
        <f t="shared" si="90"/>
        <v>0.52705106569160598</v>
      </c>
      <c r="V158" s="55">
        <f t="shared" si="91"/>
        <v>3916.5551999999998</v>
      </c>
      <c r="W158" s="56">
        <v>0.02</v>
      </c>
      <c r="X158" s="55">
        <v>280.3</v>
      </c>
      <c r="Y158" s="52">
        <f t="shared" si="100"/>
        <v>50454</v>
      </c>
      <c r="Z158" s="56">
        <f t="shared" ref="Z158:Z168" si="105">Y158/M158</f>
        <v>0.25764477926929302</v>
      </c>
      <c r="AA158" s="52">
        <f>M158*AB158</f>
        <v>13707.9432</v>
      </c>
      <c r="AB158" s="56">
        <v>7.0000000000000007E-2</v>
      </c>
      <c r="AC158" s="52">
        <f t="shared" si="102"/>
        <v>7833.1103999999996</v>
      </c>
      <c r="AD158" s="57">
        <f t="shared" si="104"/>
        <v>0.04</v>
      </c>
      <c r="AE158" s="52">
        <v>0</v>
      </c>
      <c r="AF158" s="57">
        <v>0</v>
      </c>
      <c r="AG158" s="52">
        <f t="shared" si="92"/>
        <v>27299.620800000001</v>
      </c>
      <c r="AH158" s="54">
        <f t="shared" si="93"/>
        <v>0.13940628642231301</v>
      </c>
    </row>
    <row r="159" spans="1:39" s="2" customFormat="1" ht="21" hidden="1" customHeight="1">
      <c r="A159" s="49" t="s">
        <v>32</v>
      </c>
      <c r="B159" s="49" t="s">
        <v>46</v>
      </c>
      <c r="C159" s="59">
        <v>10</v>
      </c>
      <c r="D159" s="60" t="s">
        <v>49</v>
      </c>
      <c r="E159" s="60" t="s">
        <v>42</v>
      </c>
      <c r="F159" s="60" t="s">
        <v>36</v>
      </c>
      <c r="G159" s="60"/>
      <c r="H159" s="60" t="s">
        <v>43</v>
      </c>
      <c r="I159" s="51">
        <v>150</v>
      </c>
      <c r="J159" s="52">
        <v>69.989999999999995</v>
      </c>
      <c r="K159" s="52">
        <f t="shared" si="94"/>
        <v>475.93200000000002</v>
      </c>
      <c r="L159" s="53">
        <v>6.8</v>
      </c>
      <c r="M159" s="52">
        <f t="shared" si="87"/>
        <v>71389.8</v>
      </c>
      <c r="N159" s="54">
        <v>0.02</v>
      </c>
      <c r="O159" s="55">
        <v>18.25</v>
      </c>
      <c r="P159" s="52">
        <f t="shared" si="99"/>
        <v>30751.266</v>
      </c>
      <c r="Q159" s="56">
        <f t="shared" si="95"/>
        <v>0.43075153593370502</v>
      </c>
      <c r="R159" s="52">
        <f t="shared" si="88"/>
        <v>8566.7759999999998</v>
      </c>
      <c r="S159" s="56">
        <v>0.12</v>
      </c>
      <c r="T159" s="52">
        <f t="shared" si="89"/>
        <v>32071.758000000002</v>
      </c>
      <c r="U159" s="56">
        <f t="shared" si="90"/>
        <v>0.44924846406629498</v>
      </c>
      <c r="V159" s="55">
        <f t="shared" si="91"/>
        <v>1427.796</v>
      </c>
      <c r="W159" s="56">
        <v>0.02</v>
      </c>
      <c r="X159" s="55">
        <v>78</v>
      </c>
      <c r="Y159" s="52">
        <f t="shared" si="100"/>
        <v>11700</v>
      </c>
      <c r="Z159" s="56">
        <f t="shared" si="105"/>
        <v>0.163888958926906</v>
      </c>
      <c r="AA159" s="52">
        <f>6.11*I159*L159</f>
        <v>6232.2</v>
      </c>
      <c r="AB159" s="56">
        <v>7.0000000000000007E-2</v>
      </c>
      <c r="AC159" s="52">
        <f t="shared" si="102"/>
        <v>2855.5920000000001</v>
      </c>
      <c r="AD159" s="57">
        <f t="shared" si="104"/>
        <v>0.04</v>
      </c>
      <c r="AE159" s="52">
        <v>0</v>
      </c>
      <c r="AF159" s="57">
        <f>AE159/M159</f>
        <v>0</v>
      </c>
      <c r="AG159" s="52">
        <f t="shared" si="92"/>
        <v>9856.1700000000092</v>
      </c>
      <c r="AH159" s="54">
        <f t="shared" si="93"/>
        <v>0.138061319684325</v>
      </c>
    </row>
    <row r="160" spans="1:39" s="2" customFormat="1" ht="21" hidden="1" customHeight="1">
      <c r="A160" s="49" t="s">
        <v>32</v>
      </c>
      <c r="B160" s="49" t="s">
        <v>46</v>
      </c>
      <c r="C160" s="59">
        <v>10</v>
      </c>
      <c r="D160" s="60" t="s">
        <v>53</v>
      </c>
      <c r="E160" s="60" t="s">
        <v>42</v>
      </c>
      <c r="F160" s="60" t="s">
        <v>36</v>
      </c>
      <c r="G160" s="60"/>
      <c r="H160" s="60" t="s">
        <v>37</v>
      </c>
      <c r="I160" s="51">
        <v>900</v>
      </c>
      <c r="J160" s="52">
        <v>89.99</v>
      </c>
      <c r="K160" s="52">
        <f t="shared" si="94"/>
        <v>611.93200000000002</v>
      </c>
      <c r="L160" s="53">
        <v>6.8</v>
      </c>
      <c r="M160" s="52">
        <f t="shared" si="87"/>
        <v>550738.80000000005</v>
      </c>
      <c r="N160" s="54">
        <v>0.03</v>
      </c>
      <c r="O160" s="55">
        <v>18.63</v>
      </c>
      <c r="P160" s="52">
        <f t="shared" si="99"/>
        <v>213148.584</v>
      </c>
      <c r="Q160" s="56">
        <f t="shared" si="95"/>
        <v>0.38702300255583899</v>
      </c>
      <c r="R160" s="52">
        <f t="shared" si="88"/>
        <v>82610.820000000007</v>
      </c>
      <c r="S160" s="56">
        <v>0.15</v>
      </c>
      <c r="T160" s="52">
        <f t="shared" si="89"/>
        <v>254979.39600000001</v>
      </c>
      <c r="U160" s="56">
        <f t="shared" si="90"/>
        <v>0.46297699744416099</v>
      </c>
      <c r="V160" s="55">
        <f t="shared" si="91"/>
        <v>11014.776</v>
      </c>
      <c r="W160" s="56">
        <v>0.02</v>
      </c>
      <c r="X160" s="55">
        <v>143</v>
      </c>
      <c r="Y160" s="52">
        <f t="shared" si="100"/>
        <v>128700</v>
      </c>
      <c r="Z160" s="56">
        <f t="shared" si="105"/>
        <v>0.23368609584071401</v>
      </c>
      <c r="AA160" s="52">
        <f>10.13*I160*L160</f>
        <v>61995.6</v>
      </c>
      <c r="AB160" s="56">
        <f>AA160/M160</f>
        <v>0.11256806311812401</v>
      </c>
      <c r="AC160" s="52">
        <f t="shared" si="102"/>
        <v>22029.552</v>
      </c>
      <c r="AD160" s="57">
        <f t="shared" si="104"/>
        <v>0.04</v>
      </c>
      <c r="AE160" s="52">
        <v>0</v>
      </c>
      <c r="AF160" s="57">
        <f>AE160/M160</f>
        <v>0</v>
      </c>
      <c r="AG160" s="52">
        <f t="shared" si="92"/>
        <v>31239.468000000099</v>
      </c>
      <c r="AH160" s="54">
        <f t="shared" si="93"/>
        <v>5.6722838485322002E-2</v>
      </c>
    </row>
    <row r="161" spans="1:39" s="2" customFormat="1" ht="21" hidden="1" customHeight="1">
      <c r="A161" s="49" t="s">
        <v>32</v>
      </c>
      <c r="B161" s="49" t="s">
        <v>46</v>
      </c>
      <c r="C161" s="59">
        <v>10</v>
      </c>
      <c r="D161" s="60" t="s">
        <v>54</v>
      </c>
      <c r="E161" s="60" t="s">
        <v>42</v>
      </c>
      <c r="F161" s="60" t="s">
        <v>36</v>
      </c>
      <c r="G161" s="60"/>
      <c r="H161" s="60" t="s">
        <v>37</v>
      </c>
      <c r="I161" s="51">
        <v>450</v>
      </c>
      <c r="J161" s="52">
        <v>109.99</v>
      </c>
      <c r="K161" s="52">
        <f t="shared" si="94"/>
        <v>747.93200000000002</v>
      </c>
      <c r="L161" s="53">
        <v>6.8</v>
      </c>
      <c r="M161" s="52">
        <f t="shared" si="87"/>
        <v>336569.4</v>
      </c>
      <c r="N161" s="54">
        <v>0.03</v>
      </c>
      <c r="O161" s="55">
        <v>20.149999999999999</v>
      </c>
      <c r="P161" s="52">
        <f t="shared" si="99"/>
        <v>122241.492</v>
      </c>
      <c r="Q161" s="56">
        <f t="shared" si="95"/>
        <v>0.36319847258841698</v>
      </c>
      <c r="R161" s="52">
        <f t="shared" si="88"/>
        <v>50485.41</v>
      </c>
      <c r="S161" s="56">
        <v>0.15</v>
      </c>
      <c r="T161" s="52">
        <f t="shared" si="89"/>
        <v>163842.49799999999</v>
      </c>
      <c r="U161" s="56">
        <f t="shared" si="90"/>
        <v>0.486801527411583</v>
      </c>
      <c r="V161" s="55">
        <f t="shared" si="91"/>
        <v>6731.3879999999999</v>
      </c>
      <c r="W161" s="56">
        <v>0.02</v>
      </c>
      <c r="X161" s="55">
        <v>148</v>
      </c>
      <c r="Y161" s="52">
        <f t="shared" si="100"/>
        <v>66600</v>
      </c>
      <c r="Z161" s="56">
        <f t="shared" si="105"/>
        <v>0.19787895156244101</v>
      </c>
      <c r="AA161" s="52">
        <f>1.11*I161*L161</f>
        <v>3396.6</v>
      </c>
      <c r="AB161" s="56">
        <f>AA161/M161</f>
        <v>1.0091826529684499E-2</v>
      </c>
      <c r="AC161" s="52">
        <f t="shared" si="102"/>
        <v>13462.776</v>
      </c>
      <c r="AD161" s="57">
        <f t="shared" si="104"/>
        <v>0.04</v>
      </c>
      <c r="AE161" s="52">
        <v>0</v>
      </c>
      <c r="AF161" s="57">
        <f>AE161/M161</f>
        <v>0</v>
      </c>
      <c r="AG161" s="52">
        <f t="shared" si="92"/>
        <v>73651.733999999997</v>
      </c>
      <c r="AH161" s="54">
        <f t="shared" si="93"/>
        <v>0.21883074931945701</v>
      </c>
    </row>
    <row r="162" spans="1:39" s="1" customFormat="1" ht="21" hidden="1" customHeight="1">
      <c r="A162" s="49" t="s">
        <v>32</v>
      </c>
      <c r="B162" s="49" t="s">
        <v>46</v>
      </c>
      <c r="C162" s="59">
        <v>10</v>
      </c>
      <c r="D162" s="60" t="s">
        <v>55</v>
      </c>
      <c r="E162" s="60" t="s">
        <v>42</v>
      </c>
      <c r="F162" s="60" t="s">
        <v>36</v>
      </c>
      <c r="G162" s="60"/>
      <c r="H162" s="60" t="s">
        <v>37</v>
      </c>
      <c r="I162" s="51">
        <v>450</v>
      </c>
      <c r="J162" s="52">
        <v>129.99</v>
      </c>
      <c r="K162" s="52">
        <f t="shared" si="94"/>
        <v>883.93200000000002</v>
      </c>
      <c r="L162" s="53">
        <v>6.8</v>
      </c>
      <c r="M162" s="52">
        <f t="shared" si="87"/>
        <v>397769.4</v>
      </c>
      <c r="N162" s="54">
        <v>0.03</v>
      </c>
      <c r="O162" s="55">
        <v>20.53</v>
      </c>
      <c r="P162" s="52">
        <f t="shared" si="99"/>
        <v>134420.29199999999</v>
      </c>
      <c r="Q162" s="56">
        <f t="shared" si="95"/>
        <v>0.33793522578659901</v>
      </c>
      <c r="R162" s="52">
        <f t="shared" si="88"/>
        <v>59665.41</v>
      </c>
      <c r="S162" s="56">
        <v>0.15</v>
      </c>
      <c r="T162" s="52">
        <f t="shared" si="89"/>
        <v>203683.698</v>
      </c>
      <c r="U162" s="56">
        <f t="shared" si="90"/>
        <v>0.51206477421340102</v>
      </c>
      <c r="V162" s="55">
        <f t="shared" si="91"/>
        <v>7955.3879999999999</v>
      </c>
      <c r="W162" s="56">
        <v>0.02</v>
      </c>
      <c r="X162" s="55">
        <v>165</v>
      </c>
      <c r="Y162" s="52">
        <f t="shared" si="100"/>
        <v>74250</v>
      </c>
      <c r="Z162" s="56">
        <f t="shared" si="105"/>
        <v>0.18666594262907099</v>
      </c>
      <c r="AA162" s="52">
        <f>M162*AB162</f>
        <v>31821.552</v>
      </c>
      <c r="AB162" s="56">
        <v>0.08</v>
      </c>
      <c r="AC162" s="52">
        <f t="shared" si="102"/>
        <v>15910.776</v>
      </c>
      <c r="AD162" s="57">
        <f t="shared" si="104"/>
        <v>0.04</v>
      </c>
      <c r="AE162" s="52">
        <v>0</v>
      </c>
      <c r="AF162" s="57">
        <f>AE162/M162</f>
        <v>0</v>
      </c>
      <c r="AG162" s="52">
        <f t="shared" si="92"/>
        <v>73745.982000000004</v>
      </c>
      <c r="AH162" s="54">
        <f t="shared" si="93"/>
        <v>0.18539883158432999</v>
      </c>
      <c r="AI162" s="13"/>
      <c r="AJ162" s="13"/>
      <c r="AK162" s="13"/>
      <c r="AL162" s="13"/>
      <c r="AM162" s="13"/>
    </row>
    <row r="163" spans="1:39" s="2" customFormat="1" ht="21" hidden="1" customHeight="1">
      <c r="A163" s="49" t="s">
        <v>32</v>
      </c>
      <c r="B163" s="50" t="s">
        <v>84</v>
      </c>
      <c r="C163" s="59">
        <v>10</v>
      </c>
      <c r="D163" s="60" t="s">
        <v>96</v>
      </c>
      <c r="E163" s="60" t="s">
        <v>75</v>
      </c>
      <c r="F163" s="60" t="s">
        <v>79</v>
      </c>
      <c r="G163" s="60"/>
      <c r="H163" s="60" t="s">
        <v>43</v>
      </c>
      <c r="I163" s="51">
        <v>750</v>
      </c>
      <c r="J163" s="52">
        <v>89.99</v>
      </c>
      <c r="K163" s="52">
        <f t="shared" si="94"/>
        <v>611.93200000000002</v>
      </c>
      <c r="L163" s="53">
        <v>6.8</v>
      </c>
      <c r="M163" s="52">
        <f t="shared" si="87"/>
        <v>458949</v>
      </c>
      <c r="N163" s="54">
        <v>0.14000000000000001</v>
      </c>
      <c r="O163" s="55">
        <v>11</v>
      </c>
      <c r="P163" s="52">
        <f t="shared" si="99"/>
        <v>189195.21</v>
      </c>
      <c r="Q163" s="56">
        <f t="shared" si="95"/>
        <v>0.41223580397822002</v>
      </c>
      <c r="R163" s="52">
        <f t="shared" si="88"/>
        <v>55073.88</v>
      </c>
      <c r="S163" s="56">
        <v>0.12</v>
      </c>
      <c r="T163" s="52">
        <f t="shared" si="89"/>
        <v>214679.91</v>
      </c>
      <c r="U163" s="56">
        <f t="shared" si="90"/>
        <v>0.46776419602177999</v>
      </c>
      <c r="V163" s="55">
        <f t="shared" si="91"/>
        <v>13768.47</v>
      </c>
      <c r="W163" s="56">
        <v>0.03</v>
      </c>
      <c r="X163" s="55">
        <v>130.30000000000001</v>
      </c>
      <c r="Y163" s="52">
        <f t="shared" si="100"/>
        <v>97725</v>
      </c>
      <c r="Z163" s="56">
        <f t="shared" si="105"/>
        <v>0.212932155860455</v>
      </c>
      <c r="AA163" s="52">
        <f>5*I163*L163</f>
        <v>25500</v>
      </c>
      <c r="AB163" s="56">
        <f>AA163/M163</f>
        <v>5.5561729081009002E-2</v>
      </c>
      <c r="AC163" s="52">
        <f t="shared" si="102"/>
        <v>18357.96</v>
      </c>
      <c r="AD163" s="57">
        <f t="shared" si="104"/>
        <v>0.04</v>
      </c>
      <c r="AE163" s="52">
        <v>0</v>
      </c>
      <c r="AF163" s="57">
        <v>0</v>
      </c>
      <c r="AG163" s="52">
        <f t="shared" si="92"/>
        <v>59328.480000000003</v>
      </c>
      <c r="AH163" s="54">
        <f t="shared" si="93"/>
        <v>0.129270311080316</v>
      </c>
    </row>
    <row r="164" spans="1:39" s="2" customFormat="1" ht="21" hidden="1" customHeight="1">
      <c r="A164" s="49" t="s">
        <v>32</v>
      </c>
      <c r="B164" s="50" t="s">
        <v>84</v>
      </c>
      <c r="C164" s="59">
        <v>10</v>
      </c>
      <c r="D164" s="60" t="s">
        <v>97</v>
      </c>
      <c r="E164" s="60" t="s">
        <v>75</v>
      </c>
      <c r="F164" s="60" t="s">
        <v>79</v>
      </c>
      <c r="G164" s="60"/>
      <c r="H164" s="60" t="s">
        <v>43</v>
      </c>
      <c r="I164" s="51">
        <v>750</v>
      </c>
      <c r="J164" s="52">
        <v>139.99</v>
      </c>
      <c r="K164" s="52">
        <f t="shared" si="94"/>
        <v>951.93200000000002</v>
      </c>
      <c r="L164" s="53">
        <v>6.8</v>
      </c>
      <c r="M164" s="52">
        <f t="shared" si="87"/>
        <v>713949</v>
      </c>
      <c r="N164" s="54">
        <v>0.14000000000000001</v>
      </c>
      <c r="O164" s="55">
        <v>19.2</v>
      </c>
      <c r="P164" s="52">
        <f t="shared" si="99"/>
        <v>304965.21000000002</v>
      </c>
      <c r="Q164" s="56">
        <f t="shared" si="95"/>
        <v>0.42715265376098299</v>
      </c>
      <c r="R164" s="52">
        <f t="shared" si="88"/>
        <v>71394.899999999994</v>
      </c>
      <c r="S164" s="56">
        <v>0.1</v>
      </c>
      <c r="T164" s="52">
        <f t="shared" si="89"/>
        <v>337588.89</v>
      </c>
      <c r="U164" s="56">
        <f t="shared" si="90"/>
        <v>0.47284734623901697</v>
      </c>
      <c r="V164" s="55">
        <f t="shared" si="91"/>
        <v>14278.98</v>
      </c>
      <c r="W164" s="56">
        <v>0.02</v>
      </c>
      <c r="X164" s="55">
        <v>180</v>
      </c>
      <c r="Y164" s="52">
        <f t="shared" si="100"/>
        <v>135000</v>
      </c>
      <c r="Z164" s="56">
        <f t="shared" si="105"/>
        <v>0.18908913661900201</v>
      </c>
      <c r="AA164" s="52">
        <f>6.5*I164*L164</f>
        <v>33150</v>
      </c>
      <c r="AB164" s="56">
        <f>AA164/M164</f>
        <v>4.6431887991999397E-2</v>
      </c>
      <c r="AC164" s="52">
        <f t="shared" si="102"/>
        <v>28557.96</v>
      </c>
      <c r="AD164" s="57">
        <f t="shared" si="104"/>
        <v>0.04</v>
      </c>
      <c r="AE164" s="52">
        <v>0</v>
      </c>
      <c r="AF164" s="57">
        <f>AE164/M164</f>
        <v>0</v>
      </c>
      <c r="AG164" s="52">
        <f t="shared" si="92"/>
        <v>126601.95</v>
      </c>
      <c r="AH164" s="54">
        <f t="shared" si="93"/>
        <v>0.17732632162801501</v>
      </c>
    </row>
    <row r="165" spans="1:39" s="2" customFormat="1" ht="21" hidden="1" customHeight="1">
      <c r="A165" s="49" t="s">
        <v>32</v>
      </c>
      <c r="B165" s="50" t="s">
        <v>84</v>
      </c>
      <c r="C165" s="59">
        <v>10</v>
      </c>
      <c r="D165" s="60" t="s">
        <v>98</v>
      </c>
      <c r="E165" s="60" t="s">
        <v>75</v>
      </c>
      <c r="F165" s="60" t="s">
        <v>79</v>
      </c>
      <c r="G165" s="60"/>
      <c r="H165" s="60" t="s">
        <v>43</v>
      </c>
      <c r="I165" s="51">
        <v>330</v>
      </c>
      <c r="J165" s="52">
        <v>149.99</v>
      </c>
      <c r="K165" s="52">
        <f t="shared" si="94"/>
        <v>1019.932</v>
      </c>
      <c r="L165" s="53">
        <v>6.8</v>
      </c>
      <c r="M165" s="52">
        <f t="shared" si="87"/>
        <v>336577.56</v>
      </c>
      <c r="N165" s="54">
        <v>0.14000000000000001</v>
      </c>
      <c r="O165" s="55">
        <v>19.2</v>
      </c>
      <c r="P165" s="52">
        <f t="shared" si="99"/>
        <v>140692.29240000001</v>
      </c>
      <c r="Q165" s="56">
        <f t="shared" si="95"/>
        <v>0.41800853390226</v>
      </c>
      <c r="R165" s="52">
        <f t="shared" si="88"/>
        <v>40389.307200000003</v>
      </c>
      <c r="S165" s="56">
        <v>0.12</v>
      </c>
      <c r="T165" s="52">
        <f t="shared" si="89"/>
        <v>155495.96040000001</v>
      </c>
      <c r="U165" s="56">
        <f t="shared" si="90"/>
        <v>0.46199146609774</v>
      </c>
      <c r="V165" s="55">
        <f t="shared" si="91"/>
        <v>6731.5511999999999</v>
      </c>
      <c r="W165" s="56">
        <v>0.02</v>
      </c>
      <c r="X165" s="55">
        <v>190</v>
      </c>
      <c r="Y165" s="52">
        <f t="shared" si="100"/>
        <v>62700</v>
      </c>
      <c r="Z165" s="56">
        <f t="shared" si="105"/>
        <v>0.186286928932517</v>
      </c>
      <c r="AA165" s="52">
        <f>7.5*I165*L165</f>
        <v>16830</v>
      </c>
      <c r="AB165" s="56">
        <f>AA165/M165</f>
        <v>5.0003333555570399E-2</v>
      </c>
      <c r="AC165" s="52">
        <f t="shared" si="102"/>
        <v>13463.1024</v>
      </c>
      <c r="AD165" s="57">
        <f t="shared" si="104"/>
        <v>0.04</v>
      </c>
      <c r="AE165" s="52">
        <v>0</v>
      </c>
      <c r="AF165" s="57">
        <v>0</v>
      </c>
      <c r="AG165" s="52">
        <f t="shared" si="92"/>
        <v>55771.306799999998</v>
      </c>
      <c r="AH165" s="54">
        <f t="shared" si="93"/>
        <v>0.16570120360965199</v>
      </c>
    </row>
    <row r="166" spans="1:39" s="1" customFormat="1" ht="21" hidden="1" customHeight="1">
      <c r="A166" s="50" t="s">
        <v>32</v>
      </c>
      <c r="B166" s="59" t="s">
        <v>77</v>
      </c>
      <c r="C166" s="59">
        <v>10</v>
      </c>
      <c r="D166" s="50" t="s">
        <v>80</v>
      </c>
      <c r="E166" s="50" t="s">
        <v>75</v>
      </c>
      <c r="F166" s="50" t="s">
        <v>79</v>
      </c>
      <c r="G166" s="50"/>
      <c r="H166" s="50" t="s">
        <v>37</v>
      </c>
      <c r="I166" s="51">
        <v>800</v>
      </c>
      <c r="J166" s="52">
        <v>69.989999999999995</v>
      </c>
      <c r="K166" s="52">
        <f t="shared" si="94"/>
        <v>475.93200000000002</v>
      </c>
      <c r="L166" s="53">
        <v>6.8</v>
      </c>
      <c r="M166" s="52">
        <f t="shared" si="87"/>
        <v>380745.6</v>
      </c>
      <c r="N166" s="54">
        <v>0.14000000000000001</v>
      </c>
      <c r="O166" s="55">
        <v>8.6</v>
      </c>
      <c r="P166" s="52">
        <f t="shared" si="99"/>
        <v>157200.22399999999</v>
      </c>
      <c r="Q166" s="56">
        <f t="shared" si="95"/>
        <v>0.41287469638519803</v>
      </c>
      <c r="R166" s="52">
        <f t="shared" si="88"/>
        <v>57111.839999999997</v>
      </c>
      <c r="S166" s="56">
        <v>0.15</v>
      </c>
      <c r="T166" s="52">
        <f t="shared" si="89"/>
        <v>166433.53599999999</v>
      </c>
      <c r="U166" s="56">
        <f t="shared" si="90"/>
        <v>0.43712530361480201</v>
      </c>
      <c r="V166" s="52">
        <f t="shared" si="91"/>
        <v>11422.368</v>
      </c>
      <c r="W166" s="56">
        <v>0.03</v>
      </c>
      <c r="X166" s="55">
        <v>145</v>
      </c>
      <c r="Y166" s="52">
        <f t="shared" si="100"/>
        <v>116000</v>
      </c>
      <c r="Z166" s="56">
        <f t="shared" si="105"/>
        <v>0.304665372364119</v>
      </c>
      <c r="AA166" s="52">
        <f>M166*AB166</f>
        <v>15229.824000000001</v>
      </c>
      <c r="AB166" s="56">
        <v>0.04</v>
      </c>
      <c r="AC166" s="52">
        <f>M166*0.02</f>
        <v>7614.9120000000003</v>
      </c>
      <c r="AD166" s="57">
        <v>0.02</v>
      </c>
      <c r="AE166" s="52">
        <v>0</v>
      </c>
      <c r="AF166" s="57">
        <v>0</v>
      </c>
      <c r="AG166" s="52">
        <f t="shared" si="92"/>
        <v>16166.432000000001</v>
      </c>
      <c r="AH166" s="54">
        <f t="shared" si="93"/>
        <v>4.2459931250683002E-2</v>
      </c>
    </row>
    <row r="167" spans="1:39" s="2" customFormat="1" ht="21" hidden="1" customHeight="1">
      <c r="A167" s="50" t="s">
        <v>32</v>
      </c>
      <c r="B167" s="59" t="s">
        <v>81</v>
      </c>
      <c r="C167" s="59">
        <v>10</v>
      </c>
      <c r="D167" s="50" t="s">
        <v>83</v>
      </c>
      <c r="E167" s="50" t="s">
        <v>75</v>
      </c>
      <c r="F167" s="50" t="s">
        <v>79</v>
      </c>
      <c r="G167" s="50"/>
      <c r="H167" s="50" t="s">
        <v>43</v>
      </c>
      <c r="I167" s="51">
        <v>500</v>
      </c>
      <c r="J167" s="52">
        <v>129.99</v>
      </c>
      <c r="K167" s="52">
        <f t="shared" si="94"/>
        <v>883.93200000000002</v>
      </c>
      <c r="L167" s="53">
        <v>6.8</v>
      </c>
      <c r="M167" s="52">
        <f t="shared" si="87"/>
        <v>441966</v>
      </c>
      <c r="N167" s="54">
        <v>0.14000000000000001</v>
      </c>
      <c r="O167" s="55">
        <v>16.72</v>
      </c>
      <c r="P167" s="52">
        <f t="shared" si="99"/>
        <v>185018.14</v>
      </c>
      <c r="Q167" s="56">
        <f t="shared" si="95"/>
        <v>0.41862527886760498</v>
      </c>
      <c r="R167" s="52">
        <f t="shared" si="88"/>
        <v>66294.899999999994</v>
      </c>
      <c r="S167" s="56">
        <v>0.15</v>
      </c>
      <c r="T167" s="52">
        <f t="shared" si="89"/>
        <v>190652.96</v>
      </c>
      <c r="U167" s="56">
        <f t="shared" si="90"/>
        <v>0.431374721132395</v>
      </c>
      <c r="V167" s="52">
        <f t="shared" si="91"/>
        <v>13258.98</v>
      </c>
      <c r="W167" s="56">
        <v>0.03</v>
      </c>
      <c r="X167" s="55">
        <v>200</v>
      </c>
      <c r="Y167" s="52">
        <f t="shared" si="100"/>
        <v>100000</v>
      </c>
      <c r="Z167" s="56">
        <f t="shared" si="105"/>
        <v>0.226261748641298</v>
      </c>
      <c r="AA167" s="52">
        <f>6.2*I167*L167</f>
        <v>21080</v>
      </c>
      <c r="AB167" s="56">
        <f>AA167/M167</f>
        <v>4.7695976613585697E-2</v>
      </c>
      <c r="AC167" s="52">
        <f>M167*0.03</f>
        <v>13258.98</v>
      </c>
      <c r="AD167" s="57">
        <v>0.03</v>
      </c>
      <c r="AE167" s="52">
        <v>0</v>
      </c>
      <c r="AF167" s="57">
        <v>0</v>
      </c>
      <c r="AG167" s="52">
        <f t="shared" si="92"/>
        <v>43055</v>
      </c>
      <c r="AH167" s="54">
        <f t="shared" si="93"/>
        <v>9.7416995877510904E-2</v>
      </c>
    </row>
    <row r="168" spans="1:39" s="2" customFormat="1" ht="21" hidden="1" customHeight="1">
      <c r="A168" s="50" t="s">
        <v>32</v>
      </c>
      <c r="B168" s="59" t="s">
        <v>81</v>
      </c>
      <c r="C168" s="59">
        <v>10</v>
      </c>
      <c r="D168" s="50" t="s">
        <v>92</v>
      </c>
      <c r="E168" s="50" t="s">
        <v>75</v>
      </c>
      <c r="F168" s="50" t="s">
        <v>79</v>
      </c>
      <c r="G168" s="50"/>
      <c r="H168" s="50" t="s">
        <v>43</v>
      </c>
      <c r="I168" s="51">
        <v>250</v>
      </c>
      <c r="J168" s="52">
        <v>144.99</v>
      </c>
      <c r="K168" s="52">
        <f t="shared" si="94"/>
        <v>985.93200000000002</v>
      </c>
      <c r="L168" s="53">
        <v>6.8</v>
      </c>
      <c r="M168" s="52">
        <f t="shared" si="87"/>
        <v>246483</v>
      </c>
      <c r="N168" s="54">
        <v>0.14000000000000001</v>
      </c>
      <c r="O168" s="55">
        <v>16.72</v>
      </c>
      <c r="P168" s="52">
        <f t="shared" si="99"/>
        <v>99904.07</v>
      </c>
      <c r="Q168" s="56">
        <f t="shared" si="95"/>
        <v>0.40531829781364198</v>
      </c>
      <c r="R168" s="52">
        <f t="shared" si="88"/>
        <v>36972.449999999997</v>
      </c>
      <c r="S168" s="56">
        <v>0.15</v>
      </c>
      <c r="T168" s="52">
        <f t="shared" si="89"/>
        <v>109606.48</v>
      </c>
      <c r="U168" s="56">
        <f t="shared" si="90"/>
        <v>0.444681702186358</v>
      </c>
      <c r="V168" s="52">
        <f t="shared" si="91"/>
        <v>7394.49</v>
      </c>
      <c r="W168" s="56">
        <v>0.03</v>
      </c>
      <c r="X168" s="55">
        <v>225</v>
      </c>
      <c r="Y168" s="52">
        <f t="shared" si="100"/>
        <v>56250</v>
      </c>
      <c r="Z168" s="56">
        <f t="shared" si="105"/>
        <v>0.228210464819075</v>
      </c>
      <c r="AA168" s="52">
        <f>6.2*I168*L168</f>
        <v>10540</v>
      </c>
      <c r="AB168" s="56">
        <f>AA168/M168</f>
        <v>4.2761569763431997E-2</v>
      </c>
      <c r="AC168" s="52">
        <f>M168*0.03</f>
        <v>7394.49</v>
      </c>
      <c r="AD168" s="57">
        <v>0.03</v>
      </c>
      <c r="AE168" s="52">
        <v>0</v>
      </c>
      <c r="AF168" s="57">
        <v>0</v>
      </c>
      <c r="AG168" s="52">
        <f t="shared" si="92"/>
        <v>28027.5</v>
      </c>
      <c r="AH168" s="54">
        <f t="shared" si="93"/>
        <v>0.113709667603851</v>
      </c>
    </row>
    <row r="169" spans="1:39" s="1" customFormat="1" ht="21" hidden="1" customHeight="1">
      <c r="A169" s="49" t="s">
        <v>32</v>
      </c>
      <c r="B169" s="49" t="s">
        <v>84</v>
      </c>
      <c r="C169" s="59">
        <v>10</v>
      </c>
      <c r="D169" s="60" t="s">
        <v>85</v>
      </c>
      <c r="E169" s="60" t="s">
        <v>75</v>
      </c>
      <c r="F169" s="60" t="s">
        <v>36</v>
      </c>
      <c r="G169" s="60"/>
      <c r="H169" s="60" t="s">
        <v>70</v>
      </c>
      <c r="I169" s="51">
        <v>200</v>
      </c>
      <c r="J169" s="52">
        <v>33.99</v>
      </c>
      <c r="K169" s="52">
        <v>251.93</v>
      </c>
      <c r="L169" s="53">
        <v>6.8</v>
      </c>
      <c r="M169" s="52">
        <f t="shared" si="87"/>
        <v>50386</v>
      </c>
      <c r="N169" s="54">
        <v>0.04</v>
      </c>
      <c r="O169" s="55">
        <v>11.47</v>
      </c>
      <c r="P169" s="52">
        <f t="shared" si="99"/>
        <v>24548.6</v>
      </c>
      <c r="Q169" s="56">
        <v>0.32528440439804701</v>
      </c>
      <c r="R169" s="52">
        <f t="shared" si="88"/>
        <v>7557.9</v>
      </c>
      <c r="S169" s="56">
        <v>0.15</v>
      </c>
      <c r="T169" s="52">
        <f t="shared" si="89"/>
        <v>18279.5</v>
      </c>
      <c r="U169" s="56">
        <f t="shared" si="90"/>
        <v>0.36278926685984197</v>
      </c>
      <c r="V169" s="52">
        <f t="shared" si="91"/>
        <v>1511.58</v>
      </c>
      <c r="W169" s="56">
        <v>0.03</v>
      </c>
      <c r="X169" s="55">
        <v>45.7</v>
      </c>
      <c r="Y169" s="52">
        <f t="shared" si="100"/>
        <v>9140</v>
      </c>
      <c r="Z169" s="56">
        <v>0.26</v>
      </c>
      <c r="AA169" s="52">
        <f>0.4*I169*L169</f>
        <v>544</v>
      </c>
      <c r="AB169" s="56">
        <f>AA169/M169</f>
        <v>1.0796649863057201E-2</v>
      </c>
      <c r="AC169" s="52">
        <f>M169*0.03</f>
        <v>1511.58</v>
      </c>
      <c r="AD169" s="57">
        <v>0.03</v>
      </c>
      <c r="AE169" s="52">
        <v>0</v>
      </c>
      <c r="AF169" s="57">
        <v>0</v>
      </c>
      <c r="AG169" s="52">
        <f t="shared" si="92"/>
        <v>5572.34</v>
      </c>
      <c r="AH169" s="54">
        <f t="shared" si="93"/>
        <v>0.110593021871155</v>
      </c>
      <c r="AI169" s="13"/>
      <c r="AJ169" s="13"/>
      <c r="AK169" s="13"/>
      <c r="AL169" s="13"/>
      <c r="AM169" s="13"/>
    </row>
    <row r="170" spans="1:39" s="1" customFormat="1" ht="21" hidden="1" customHeight="1">
      <c r="A170" s="49" t="s">
        <v>32</v>
      </c>
      <c r="B170" s="49" t="s">
        <v>84</v>
      </c>
      <c r="C170" s="59">
        <v>10</v>
      </c>
      <c r="D170" s="60" t="s">
        <v>86</v>
      </c>
      <c r="E170" s="60" t="s">
        <v>75</v>
      </c>
      <c r="F170" s="60" t="s">
        <v>36</v>
      </c>
      <c r="G170" s="60"/>
      <c r="H170" s="60" t="s">
        <v>70</v>
      </c>
      <c r="I170" s="51">
        <v>100</v>
      </c>
      <c r="J170" s="52">
        <v>37.99</v>
      </c>
      <c r="K170" s="52">
        <v>251.93</v>
      </c>
      <c r="L170" s="53">
        <v>6.8</v>
      </c>
      <c r="M170" s="52">
        <f t="shared" si="87"/>
        <v>25193</v>
      </c>
      <c r="N170" s="54">
        <v>0.04</v>
      </c>
      <c r="O170" s="55">
        <v>11.47</v>
      </c>
      <c r="P170" s="52">
        <f t="shared" si="99"/>
        <v>12682.3</v>
      </c>
      <c r="Q170" s="56">
        <v>0.32528440439804701</v>
      </c>
      <c r="R170" s="52">
        <f t="shared" si="88"/>
        <v>3778.95</v>
      </c>
      <c r="S170" s="56">
        <v>0.15</v>
      </c>
      <c r="T170" s="52">
        <f t="shared" si="89"/>
        <v>8731.75</v>
      </c>
      <c r="U170" s="56">
        <f t="shared" si="90"/>
        <v>0.34659429206525599</v>
      </c>
      <c r="V170" s="52">
        <f t="shared" si="91"/>
        <v>755.79</v>
      </c>
      <c r="W170" s="56">
        <v>0.03</v>
      </c>
      <c r="X170" s="55">
        <v>56.9</v>
      </c>
      <c r="Y170" s="52">
        <f t="shared" si="100"/>
        <v>5690</v>
      </c>
      <c r="Z170" s="56">
        <v>0.26</v>
      </c>
      <c r="AA170" s="52">
        <f>0.6*I170*L170</f>
        <v>408</v>
      </c>
      <c r="AB170" s="56">
        <f>AA170/M170</f>
        <v>1.6194974794585801E-2</v>
      </c>
      <c r="AC170" s="52">
        <f>M170*0.03</f>
        <v>755.79</v>
      </c>
      <c r="AD170" s="57">
        <v>0.03</v>
      </c>
      <c r="AE170" s="52">
        <v>0</v>
      </c>
      <c r="AF170" s="57">
        <v>0</v>
      </c>
      <c r="AG170" s="52">
        <f t="shared" si="92"/>
        <v>1122.17</v>
      </c>
      <c r="AH170" s="54">
        <f t="shared" si="93"/>
        <v>4.4542928591275399E-2</v>
      </c>
      <c r="AI170" s="13"/>
      <c r="AJ170" s="13"/>
      <c r="AK170" s="13"/>
      <c r="AL170" s="13"/>
      <c r="AM170" s="13"/>
    </row>
    <row r="171" spans="1:39" s="1" customFormat="1" ht="21" hidden="1" customHeight="1">
      <c r="A171" s="29" t="s">
        <v>56</v>
      </c>
      <c r="B171" s="80" t="s">
        <v>57</v>
      </c>
      <c r="C171" s="94">
        <v>10</v>
      </c>
      <c r="D171" s="94" t="s">
        <v>58</v>
      </c>
      <c r="E171" s="94" t="s">
        <v>35</v>
      </c>
      <c r="F171" s="94" t="s">
        <v>36</v>
      </c>
      <c r="G171" s="94"/>
      <c r="H171" s="94" t="s">
        <v>43</v>
      </c>
      <c r="I171" s="65">
        <v>500</v>
      </c>
      <c r="J171" s="66">
        <v>89.99</v>
      </c>
      <c r="K171" s="66">
        <f t="shared" ref="K171:K201" si="106">J171*L171</f>
        <v>719.92</v>
      </c>
      <c r="L171" s="19">
        <v>8</v>
      </c>
      <c r="M171" s="66">
        <f t="shared" si="87"/>
        <v>359960</v>
      </c>
      <c r="N171" s="67">
        <v>0.08</v>
      </c>
      <c r="O171" s="68">
        <v>5.87</v>
      </c>
      <c r="P171" s="66">
        <f t="shared" si="99"/>
        <v>106270.8</v>
      </c>
      <c r="Q171" s="23">
        <f>P171/M171</f>
        <v>0.29522946994110499</v>
      </c>
      <c r="R171" s="66">
        <f t="shared" si="88"/>
        <v>28796.799999999999</v>
      </c>
      <c r="S171" s="23">
        <v>0.08</v>
      </c>
      <c r="T171" s="18">
        <f t="shared" si="89"/>
        <v>224892.4</v>
      </c>
      <c r="U171" s="22">
        <f t="shared" si="90"/>
        <v>0.62477053005889505</v>
      </c>
      <c r="V171" s="66">
        <f t="shared" si="91"/>
        <v>0</v>
      </c>
      <c r="W171" s="23">
        <v>0</v>
      </c>
      <c r="X171" s="68">
        <v>171.5</v>
      </c>
      <c r="Y171" s="34">
        <f t="shared" si="100"/>
        <v>85750</v>
      </c>
      <c r="Z171" s="23">
        <f>Y171/M171</f>
        <v>0.23822091343482599</v>
      </c>
      <c r="AA171" s="66">
        <f>M171*AB171</f>
        <v>17998</v>
      </c>
      <c r="AB171" s="37">
        <v>0.05</v>
      </c>
      <c r="AC171" s="18">
        <f>M171*AD171</f>
        <v>10798.8</v>
      </c>
      <c r="AD171" s="69">
        <v>0.03</v>
      </c>
      <c r="AE171" s="66">
        <f>J171/1.19*0.19*I171*L171</f>
        <v>57472.605042016803</v>
      </c>
      <c r="AF171" s="69">
        <f>AE171/M171</f>
        <v>0.159663865546218</v>
      </c>
      <c r="AG171" s="66">
        <f t="shared" si="92"/>
        <v>52872.994957983203</v>
      </c>
      <c r="AH171" s="67">
        <f t="shared" si="93"/>
        <v>0.14688575107785101</v>
      </c>
      <c r="AI171" s="13"/>
      <c r="AJ171" s="13"/>
      <c r="AK171" s="13"/>
      <c r="AL171" s="13"/>
      <c r="AM171" s="13"/>
    </row>
    <row r="172" spans="1:39" s="1" customFormat="1" ht="21" hidden="1" customHeight="1">
      <c r="A172" s="29" t="s">
        <v>56</v>
      </c>
      <c r="B172" s="80" t="s">
        <v>57</v>
      </c>
      <c r="C172" s="94">
        <v>10</v>
      </c>
      <c r="D172" s="94" t="s">
        <v>71</v>
      </c>
      <c r="E172" s="94" t="s">
        <v>35</v>
      </c>
      <c r="F172" s="94" t="s">
        <v>36</v>
      </c>
      <c r="G172" s="94"/>
      <c r="H172" s="94" t="s">
        <v>43</v>
      </c>
      <c r="I172" s="65">
        <v>500</v>
      </c>
      <c r="J172" s="66">
        <v>79.989999999999995</v>
      </c>
      <c r="K172" s="66">
        <f t="shared" si="106"/>
        <v>639.91999999999996</v>
      </c>
      <c r="L172" s="19">
        <v>8</v>
      </c>
      <c r="M172" s="66">
        <f t="shared" si="87"/>
        <v>319960</v>
      </c>
      <c r="N172" s="67">
        <v>0.15</v>
      </c>
      <c r="O172" s="68">
        <v>8.6</v>
      </c>
      <c r="P172" s="66">
        <f t="shared" si="99"/>
        <v>130388</v>
      </c>
      <c r="Q172" s="23">
        <f>P172/M172</f>
        <v>0.40751343917989702</v>
      </c>
      <c r="R172" s="66">
        <f t="shared" si="88"/>
        <v>25596.799999999999</v>
      </c>
      <c r="S172" s="23">
        <v>0.08</v>
      </c>
      <c r="T172" s="18">
        <f t="shared" si="89"/>
        <v>163975.20000000001</v>
      </c>
      <c r="U172" s="22">
        <f t="shared" si="90"/>
        <v>0.51248656082010302</v>
      </c>
      <c r="V172" s="66">
        <f t="shared" si="91"/>
        <v>0</v>
      </c>
      <c r="W172" s="23">
        <v>0</v>
      </c>
      <c r="X172" s="68">
        <v>142</v>
      </c>
      <c r="Y172" s="34">
        <f t="shared" si="100"/>
        <v>71000</v>
      </c>
      <c r="Z172" s="23">
        <f>Y172/M172</f>
        <v>0.22190273784223</v>
      </c>
      <c r="AA172" s="66">
        <f>M172*AB172</f>
        <v>15998</v>
      </c>
      <c r="AB172" s="37">
        <v>0.05</v>
      </c>
      <c r="AC172" s="18">
        <f t="shared" ref="AC172:AC181" si="107">M172*0.04</f>
        <v>12798.4</v>
      </c>
      <c r="AD172" s="69">
        <v>0.03</v>
      </c>
      <c r="AE172" s="66">
        <f>J172/1.19*0.19*I172*L172</f>
        <v>51086.050420168103</v>
      </c>
      <c r="AF172" s="69">
        <f>AE172/M172</f>
        <v>0.159663865546219</v>
      </c>
      <c r="AG172" s="66">
        <f t="shared" si="92"/>
        <v>13092.7495798319</v>
      </c>
      <c r="AH172" s="67">
        <f t="shared" si="93"/>
        <v>4.0919957431653699E-2</v>
      </c>
      <c r="AI172" s="13"/>
      <c r="AJ172" s="13"/>
      <c r="AK172" s="13"/>
      <c r="AL172" s="13"/>
      <c r="AM172" s="13"/>
    </row>
    <row r="173" spans="1:39" s="2" customFormat="1" ht="21" hidden="1" customHeight="1">
      <c r="A173" s="29" t="s">
        <v>56</v>
      </c>
      <c r="B173" s="80" t="s">
        <v>64</v>
      </c>
      <c r="C173" s="94">
        <v>10</v>
      </c>
      <c r="D173" s="94" t="s">
        <v>66</v>
      </c>
      <c r="E173" s="94" t="s">
        <v>35</v>
      </c>
      <c r="F173" s="94" t="s">
        <v>36</v>
      </c>
      <c r="G173" s="94"/>
      <c r="H173" s="94" t="s">
        <v>43</v>
      </c>
      <c r="I173" s="65">
        <v>500</v>
      </c>
      <c r="J173" s="66">
        <v>99.99</v>
      </c>
      <c r="K173" s="66">
        <f t="shared" si="106"/>
        <v>919.90800000000002</v>
      </c>
      <c r="L173" s="19">
        <v>9.1999999999999993</v>
      </c>
      <c r="M173" s="66">
        <f t="shared" si="87"/>
        <v>459954</v>
      </c>
      <c r="N173" s="67">
        <v>0.2</v>
      </c>
      <c r="O173" s="68">
        <v>6.45</v>
      </c>
      <c r="P173" s="66">
        <f t="shared" si="99"/>
        <v>190653.9</v>
      </c>
      <c r="Q173" s="23">
        <f>P173/M173</f>
        <v>0.41450645064506397</v>
      </c>
      <c r="R173" s="66">
        <f t="shared" si="88"/>
        <v>36796.32</v>
      </c>
      <c r="S173" s="23">
        <v>0.08</v>
      </c>
      <c r="T173" s="18">
        <f t="shared" si="89"/>
        <v>232503.78</v>
      </c>
      <c r="U173" s="22">
        <f t="shared" si="90"/>
        <v>0.50549354935493496</v>
      </c>
      <c r="V173" s="66">
        <f t="shared" si="91"/>
        <v>0</v>
      </c>
      <c r="W173" s="23">
        <v>0</v>
      </c>
      <c r="X173" s="68">
        <v>170.5</v>
      </c>
      <c r="Y173" s="34">
        <f t="shared" si="100"/>
        <v>85250</v>
      </c>
      <c r="Z173" s="23">
        <f>Y173/M173</f>
        <v>0.18534462141866401</v>
      </c>
      <c r="AA173" s="66">
        <f>10.13*I173*L173</f>
        <v>46598</v>
      </c>
      <c r="AB173" s="37">
        <v>0.05</v>
      </c>
      <c r="AC173" s="18">
        <f t="shared" si="107"/>
        <v>18398.16</v>
      </c>
      <c r="AD173" s="69">
        <v>0.03</v>
      </c>
      <c r="AE173" s="66">
        <f>(J173*(20%/(1+20%)))*I173*L173</f>
        <v>76659</v>
      </c>
      <c r="AF173" s="69">
        <f>AE173/M173</f>
        <v>0.16666666666666699</v>
      </c>
      <c r="AG173" s="66">
        <f t="shared" si="92"/>
        <v>5598.6199999999699</v>
      </c>
      <c r="AH173" s="67">
        <f t="shared" si="93"/>
        <v>1.2172130256503801E-2</v>
      </c>
    </row>
    <row r="174" spans="1:39" s="2" customFormat="1" ht="21" hidden="1" customHeight="1">
      <c r="A174" s="29" t="s">
        <v>56</v>
      </c>
      <c r="B174" s="80" t="s">
        <v>72</v>
      </c>
      <c r="C174" s="94">
        <v>10</v>
      </c>
      <c r="D174" s="94" t="s">
        <v>73</v>
      </c>
      <c r="E174" s="94" t="s">
        <v>35</v>
      </c>
      <c r="F174" s="94" t="s">
        <v>36</v>
      </c>
      <c r="G174" s="94"/>
      <c r="H174" s="94" t="s">
        <v>43</v>
      </c>
      <c r="I174" s="65">
        <v>500</v>
      </c>
      <c r="J174" s="66">
        <v>59.99</v>
      </c>
      <c r="K174" s="66">
        <f t="shared" si="106"/>
        <v>551.90800000000002</v>
      </c>
      <c r="L174" s="19">
        <v>9.1999999999999993</v>
      </c>
      <c r="M174" s="66">
        <f t="shared" si="87"/>
        <v>275954</v>
      </c>
      <c r="N174" s="67">
        <v>7.0000000000000007E-2</v>
      </c>
      <c r="O174" s="68">
        <v>6.11</v>
      </c>
      <c r="P174" s="66">
        <f>(J174*0.15*I174+O174*I174)*L174+J174*I174*N174</f>
        <v>71598.75</v>
      </c>
      <c r="Q174" s="23">
        <f>P174/M174</f>
        <v>0.25945900403690503</v>
      </c>
      <c r="R174" s="66">
        <f t="shared" si="88"/>
        <v>22076.32</v>
      </c>
      <c r="S174" s="23">
        <v>0.08</v>
      </c>
      <c r="T174" s="18">
        <f t="shared" si="89"/>
        <v>182278.93</v>
      </c>
      <c r="U174" s="22">
        <f t="shared" si="90"/>
        <v>0.66054099596309501</v>
      </c>
      <c r="V174" s="34">
        <f t="shared" si="91"/>
        <v>0</v>
      </c>
      <c r="W174" s="23">
        <v>0</v>
      </c>
      <c r="X174" s="68">
        <v>142</v>
      </c>
      <c r="Y174" s="34">
        <f t="shared" si="100"/>
        <v>71000</v>
      </c>
      <c r="Z174" s="23">
        <f>Y174/M174</f>
        <v>0.25728925835465299</v>
      </c>
      <c r="AA174" s="66">
        <f t="shared" ref="AA174:AA182" si="108">M174*AB174</f>
        <v>13797.7</v>
      </c>
      <c r="AB174" s="37">
        <v>0.05</v>
      </c>
      <c r="AC174" s="18">
        <f t="shared" si="107"/>
        <v>11038.16</v>
      </c>
      <c r="AD174" s="69">
        <v>0.03</v>
      </c>
      <c r="AE174" s="66">
        <f>(M174-M174*0.2)*0.2</f>
        <v>44152.639999999999</v>
      </c>
      <c r="AF174" s="69">
        <f>AE174/M174</f>
        <v>0.16</v>
      </c>
      <c r="AG174" s="66">
        <f t="shared" si="92"/>
        <v>42290.43</v>
      </c>
      <c r="AH174" s="67">
        <f t="shared" si="93"/>
        <v>0.15325173760844199</v>
      </c>
    </row>
    <row r="175" spans="1:39" s="2" customFormat="1" ht="21" hidden="1" customHeight="1">
      <c r="A175" s="29" t="s">
        <v>56</v>
      </c>
      <c r="B175" s="80" t="s">
        <v>72</v>
      </c>
      <c r="C175" s="94">
        <v>10</v>
      </c>
      <c r="D175" s="94" t="s">
        <v>93</v>
      </c>
      <c r="E175" s="94" t="s">
        <v>75</v>
      </c>
      <c r="F175" s="94" t="s">
        <v>79</v>
      </c>
      <c r="G175" s="94"/>
      <c r="H175" s="94" t="s">
        <v>43</v>
      </c>
      <c r="I175" s="65">
        <v>600</v>
      </c>
      <c r="J175" s="66">
        <v>299.99</v>
      </c>
      <c r="K175" s="66">
        <f t="shared" si="106"/>
        <v>2039.932</v>
      </c>
      <c r="L175" s="19">
        <v>6.8</v>
      </c>
      <c r="M175" s="66">
        <f t="shared" si="87"/>
        <v>1223959.2</v>
      </c>
      <c r="N175" s="67">
        <v>0.2</v>
      </c>
      <c r="O175" s="68">
        <v>22.92</v>
      </c>
      <c r="P175" s="66">
        <f>(J175*0.15*I175+O175*I175)*L175+J175*I175*N175</f>
        <v>313106.28000000003</v>
      </c>
      <c r="Q175" s="23">
        <v>0.25538805399793502</v>
      </c>
      <c r="R175" s="66">
        <f t="shared" si="88"/>
        <v>183593.88</v>
      </c>
      <c r="S175" s="23">
        <v>0.15</v>
      </c>
      <c r="T175" s="18">
        <f t="shared" si="89"/>
        <v>727259.04</v>
      </c>
      <c r="U175" s="22">
        <v>0.59461194600206502</v>
      </c>
      <c r="V175" s="34">
        <f t="shared" si="91"/>
        <v>122395.92</v>
      </c>
      <c r="W175" s="23">
        <v>0.1</v>
      </c>
      <c r="X175" s="68">
        <v>605</v>
      </c>
      <c r="Y175" s="34">
        <f t="shared" si="100"/>
        <v>363000</v>
      </c>
      <c r="Z175" s="23">
        <v>0.29228027407676899</v>
      </c>
      <c r="AA175" s="66">
        <f t="shared" si="108"/>
        <v>73437.551999999996</v>
      </c>
      <c r="AB175" s="37">
        <v>0.06</v>
      </c>
      <c r="AC175" s="18">
        <f t="shared" si="107"/>
        <v>48958.368000000002</v>
      </c>
      <c r="AD175" s="69">
        <v>0.03</v>
      </c>
      <c r="AE175" s="66">
        <v>0</v>
      </c>
      <c r="AF175" s="69">
        <v>0</v>
      </c>
      <c r="AG175" s="66">
        <f t="shared" si="92"/>
        <v>119467.2</v>
      </c>
      <c r="AH175" s="67">
        <f t="shared" si="93"/>
        <v>9.7607175141132096E-2</v>
      </c>
    </row>
    <row r="176" spans="1:39" s="2" customFormat="1" ht="21" hidden="1" customHeight="1">
      <c r="A176" s="29" t="s">
        <v>56</v>
      </c>
      <c r="B176" s="80" t="s">
        <v>72</v>
      </c>
      <c r="C176" s="94">
        <v>10</v>
      </c>
      <c r="D176" s="94" t="s">
        <v>95</v>
      </c>
      <c r="E176" s="94" t="s">
        <v>75</v>
      </c>
      <c r="F176" s="94" t="s">
        <v>79</v>
      </c>
      <c r="G176" s="94" t="s">
        <v>76</v>
      </c>
      <c r="H176" s="94" t="s">
        <v>43</v>
      </c>
      <c r="I176" s="65">
        <v>200</v>
      </c>
      <c r="J176" s="66">
        <v>199.99</v>
      </c>
      <c r="K176" s="66">
        <f t="shared" si="106"/>
        <v>1359.932</v>
      </c>
      <c r="L176" s="19">
        <v>6.8</v>
      </c>
      <c r="M176" s="66">
        <f t="shared" si="87"/>
        <v>271986.40000000002</v>
      </c>
      <c r="N176" s="67">
        <v>0.2</v>
      </c>
      <c r="O176" s="68">
        <v>23.19</v>
      </c>
      <c r="P176" s="66">
        <f>(J176*0.15*I176+O176*I176)*L176+J176*I176*N176</f>
        <v>80335.960000000006</v>
      </c>
      <c r="Q176" s="23">
        <v>0.29494130503626598</v>
      </c>
      <c r="R176" s="66">
        <f t="shared" si="88"/>
        <v>54397.279999999999</v>
      </c>
      <c r="S176" s="23">
        <v>0.2</v>
      </c>
      <c r="T176" s="18">
        <f t="shared" si="89"/>
        <v>137253.16</v>
      </c>
      <c r="U176" s="22">
        <v>0.50505869496373401</v>
      </c>
      <c r="V176" s="34">
        <f t="shared" si="91"/>
        <v>27198.639999999999</v>
      </c>
      <c r="W176" s="23">
        <v>0.1</v>
      </c>
      <c r="X176" s="68">
        <v>500</v>
      </c>
      <c r="Y176" s="34">
        <f t="shared" si="100"/>
        <v>100000</v>
      </c>
      <c r="Z176" s="23">
        <v>0.217402174456549</v>
      </c>
      <c r="AA176" s="66">
        <f t="shared" si="108"/>
        <v>16319.183999999999</v>
      </c>
      <c r="AB176" s="37">
        <v>0.06</v>
      </c>
      <c r="AC176" s="18">
        <f t="shared" si="107"/>
        <v>10879.456</v>
      </c>
      <c r="AD176" s="69">
        <v>0.03</v>
      </c>
      <c r="AE176" s="66">
        <v>0</v>
      </c>
      <c r="AF176" s="69">
        <v>0</v>
      </c>
      <c r="AG176" s="66">
        <f t="shared" si="92"/>
        <v>-17144.12</v>
      </c>
      <c r="AH176" s="67">
        <f t="shared" si="93"/>
        <v>-6.3033004591405997E-2</v>
      </c>
    </row>
    <row r="177" spans="1:39" s="2" customFormat="1" ht="21" hidden="1" customHeight="1">
      <c r="A177" s="29" t="s">
        <v>56</v>
      </c>
      <c r="B177" s="80" t="s">
        <v>72</v>
      </c>
      <c r="C177" s="94">
        <v>10</v>
      </c>
      <c r="D177" s="94" t="s">
        <v>74</v>
      </c>
      <c r="E177" s="94" t="s">
        <v>75</v>
      </c>
      <c r="F177" s="94" t="s">
        <v>36</v>
      </c>
      <c r="G177" s="94"/>
      <c r="H177" s="94" t="s">
        <v>43</v>
      </c>
      <c r="I177" s="65">
        <v>800</v>
      </c>
      <c r="J177" s="66">
        <v>299.99</v>
      </c>
      <c r="K177" s="66">
        <f t="shared" si="106"/>
        <v>2039.932</v>
      </c>
      <c r="L177" s="19">
        <v>6.8</v>
      </c>
      <c r="M177" s="66">
        <f t="shared" ref="M177:M240" si="109">I177*K177</f>
        <v>1631945.6</v>
      </c>
      <c r="N177" s="67">
        <v>0.2</v>
      </c>
      <c r="O177" s="68">
        <v>22.92</v>
      </c>
      <c r="P177" s="66">
        <f>(J177*0.15*I177+O177*I177)*L177+J177*I177*N177</f>
        <v>417475.04</v>
      </c>
      <c r="Q177" s="23">
        <v>0.25538805399793502</v>
      </c>
      <c r="R177" s="66">
        <f t="shared" ref="R177:R240" si="110">M177*S177</f>
        <v>244791.84</v>
      </c>
      <c r="S177" s="23">
        <v>0.15</v>
      </c>
      <c r="T177" s="18">
        <f t="shared" ref="T177:T240" si="111">M177-P177-R177</f>
        <v>969678.72</v>
      </c>
      <c r="U177" s="22">
        <v>0.59461194600206502</v>
      </c>
      <c r="V177" s="34">
        <f t="shared" ref="V177:V240" si="112">M177*W177</f>
        <v>81597.279999999999</v>
      </c>
      <c r="W177" s="23">
        <v>0.05</v>
      </c>
      <c r="X177" s="68">
        <v>605</v>
      </c>
      <c r="Y177" s="34">
        <f t="shared" si="100"/>
        <v>484000</v>
      </c>
      <c r="Z177" s="23">
        <v>0.29228027407676899</v>
      </c>
      <c r="AA177" s="66">
        <f t="shared" si="108"/>
        <v>97916.736000000004</v>
      </c>
      <c r="AB177" s="37">
        <v>0.06</v>
      </c>
      <c r="AC177" s="18">
        <f t="shared" si="107"/>
        <v>65277.824000000001</v>
      </c>
      <c r="AD177" s="69">
        <v>0.03</v>
      </c>
      <c r="AE177" s="66">
        <v>0</v>
      </c>
      <c r="AF177" s="69">
        <v>0</v>
      </c>
      <c r="AG177" s="66">
        <f t="shared" ref="AG177:AG240" si="113">T177-V177-Y177-AA177-AC177-AE177</f>
        <v>240886.88</v>
      </c>
      <c r="AH177" s="67">
        <f t="shared" ref="AH177:AH240" si="114">AG177/M177</f>
        <v>0.147607175141132</v>
      </c>
    </row>
    <row r="178" spans="1:39" s="2" customFormat="1" ht="21" hidden="1" customHeight="1">
      <c r="A178" s="29" t="s">
        <v>56</v>
      </c>
      <c r="B178" s="80" t="s">
        <v>72</v>
      </c>
      <c r="C178" s="94">
        <v>10</v>
      </c>
      <c r="D178" s="94" t="s">
        <v>99</v>
      </c>
      <c r="E178" s="94" t="s">
        <v>75</v>
      </c>
      <c r="F178" s="94" t="s">
        <v>79</v>
      </c>
      <c r="G178" s="94"/>
      <c r="H178" s="94" t="s">
        <v>43</v>
      </c>
      <c r="I178" s="65">
        <v>200</v>
      </c>
      <c r="J178" s="66">
        <v>469.99</v>
      </c>
      <c r="K178" s="66">
        <f t="shared" si="106"/>
        <v>3195.9319999999998</v>
      </c>
      <c r="L178" s="19">
        <v>6.8</v>
      </c>
      <c r="M178" s="66">
        <f t="shared" si="109"/>
        <v>639186.4</v>
      </c>
      <c r="N178" s="67">
        <v>0.2</v>
      </c>
      <c r="O178" s="68">
        <v>22.92</v>
      </c>
      <c r="P178" s="66">
        <f>(J178*0.15*I178+O178*I178)*L178+J178*I178*N178</f>
        <v>145848.76</v>
      </c>
      <c r="Q178" s="23">
        <v>0.25538805399793502</v>
      </c>
      <c r="R178" s="66">
        <f t="shared" si="110"/>
        <v>191755.92</v>
      </c>
      <c r="S178" s="23">
        <v>0.3</v>
      </c>
      <c r="T178" s="18">
        <f t="shared" si="111"/>
        <v>301581.71999999997</v>
      </c>
      <c r="U178" s="22">
        <v>0.59461194600206502</v>
      </c>
      <c r="V178" s="34">
        <f t="shared" si="112"/>
        <v>127837.28</v>
      </c>
      <c r="W178" s="23">
        <v>0.2</v>
      </c>
      <c r="X178" s="68">
        <v>850</v>
      </c>
      <c r="Y178" s="34">
        <f t="shared" si="100"/>
        <v>170000</v>
      </c>
      <c r="Z178" s="23">
        <v>0.29228027407676899</v>
      </c>
      <c r="AA178" s="66">
        <f t="shared" si="108"/>
        <v>38351.184000000001</v>
      </c>
      <c r="AB178" s="37">
        <v>0.06</v>
      </c>
      <c r="AC178" s="18">
        <f t="shared" si="107"/>
        <v>25567.455999999998</v>
      </c>
      <c r="AD178" s="69">
        <v>0.03</v>
      </c>
      <c r="AE178" s="66">
        <v>0</v>
      </c>
      <c r="AF178" s="69">
        <v>0</v>
      </c>
      <c r="AG178" s="66">
        <f t="shared" si="113"/>
        <v>-60174.200000000099</v>
      </c>
      <c r="AH178" s="67">
        <f t="shared" si="114"/>
        <v>-9.4141865346321602E-2</v>
      </c>
    </row>
    <row r="179" spans="1:39" s="1" customFormat="1" ht="21" hidden="1" customHeight="1">
      <c r="A179" s="29" t="s">
        <v>56</v>
      </c>
      <c r="B179" s="80" t="s">
        <v>59</v>
      </c>
      <c r="C179" s="94">
        <v>10</v>
      </c>
      <c r="D179" s="94" t="s">
        <v>60</v>
      </c>
      <c r="E179" s="94" t="s">
        <v>35</v>
      </c>
      <c r="F179" s="94" t="s">
        <v>36</v>
      </c>
      <c r="G179" s="94"/>
      <c r="H179" s="94" t="s">
        <v>43</v>
      </c>
      <c r="I179" s="65">
        <v>6000</v>
      </c>
      <c r="J179" s="66">
        <v>69.989999999999995</v>
      </c>
      <c r="K179" s="66">
        <f t="shared" si="106"/>
        <v>475.93200000000002</v>
      </c>
      <c r="L179" s="19">
        <v>6.8</v>
      </c>
      <c r="M179" s="66">
        <f t="shared" si="109"/>
        <v>2855592</v>
      </c>
      <c r="N179" s="67">
        <v>0.08</v>
      </c>
      <c r="O179" s="68">
        <v>11.04</v>
      </c>
      <c r="P179" s="66">
        <f t="shared" ref="P179:P206" si="115">(J179*0.15*I179+O179*I179)*L179+M179*N179</f>
        <v>1107218.1599999999</v>
      </c>
      <c r="Q179" s="23">
        <f t="shared" ref="Q179:Q201" si="116">P179/M179</f>
        <v>0.38773681954564898</v>
      </c>
      <c r="R179" s="66">
        <f t="shared" si="110"/>
        <v>285559.2</v>
      </c>
      <c r="S179" s="23">
        <v>0.1</v>
      </c>
      <c r="T179" s="18">
        <f t="shared" si="111"/>
        <v>1462814.64</v>
      </c>
      <c r="U179" s="22">
        <f t="shared" ref="U179:U207" si="117">T179/M179</f>
        <v>0.51226318045435104</v>
      </c>
      <c r="V179" s="66">
        <f t="shared" si="112"/>
        <v>85667.76</v>
      </c>
      <c r="W179" s="23">
        <v>0.03</v>
      </c>
      <c r="X179" s="68">
        <v>142</v>
      </c>
      <c r="Y179" s="34">
        <f t="shared" si="100"/>
        <v>852000</v>
      </c>
      <c r="Z179" s="23">
        <f t="shared" ref="Z179:Z190" si="118">Y179/M179</f>
        <v>0.29836195086693101</v>
      </c>
      <c r="AA179" s="66">
        <f t="shared" si="108"/>
        <v>171335.52</v>
      </c>
      <c r="AB179" s="37">
        <v>0.06</v>
      </c>
      <c r="AC179" s="18">
        <f t="shared" si="107"/>
        <v>114223.67999999999</v>
      </c>
      <c r="AD179" s="69">
        <v>0.02</v>
      </c>
      <c r="AE179" s="66">
        <v>0</v>
      </c>
      <c r="AF179" s="69">
        <v>0</v>
      </c>
      <c r="AG179" s="66">
        <f t="shared" si="113"/>
        <v>239587.68</v>
      </c>
      <c r="AH179" s="67">
        <f t="shared" si="114"/>
        <v>8.3901229587420106E-2</v>
      </c>
      <c r="AI179" s="13"/>
      <c r="AJ179" s="13"/>
      <c r="AK179" s="13"/>
      <c r="AL179" s="13"/>
      <c r="AM179" s="13"/>
    </row>
    <row r="180" spans="1:39" s="1" customFormat="1" ht="21" hidden="1" customHeight="1">
      <c r="A180" s="29" t="s">
        <v>56</v>
      </c>
      <c r="B180" s="80" t="s">
        <v>59</v>
      </c>
      <c r="C180" s="94">
        <v>10</v>
      </c>
      <c r="D180" s="94" t="s">
        <v>61</v>
      </c>
      <c r="E180" s="94" t="s">
        <v>35</v>
      </c>
      <c r="F180" s="94" t="s">
        <v>36</v>
      </c>
      <c r="G180" s="94"/>
      <c r="H180" s="94" t="s">
        <v>43</v>
      </c>
      <c r="I180" s="65">
        <v>1200</v>
      </c>
      <c r="J180" s="66">
        <v>79.989999999999995</v>
      </c>
      <c r="K180" s="66">
        <f t="shared" si="106"/>
        <v>543.93200000000002</v>
      </c>
      <c r="L180" s="19">
        <v>6.8</v>
      </c>
      <c r="M180" s="66">
        <f t="shared" si="109"/>
        <v>652718.4</v>
      </c>
      <c r="N180" s="67">
        <v>0.08</v>
      </c>
      <c r="O180" s="68">
        <v>15.79</v>
      </c>
      <c r="P180" s="66">
        <f t="shared" si="115"/>
        <v>278971.63199999998</v>
      </c>
      <c r="Q180" s="23">
        <f t="shared" si="116"/>
        <v>0.42739967495936998</v>
      </c>
      <c r="R180" s="66">
        <f t="shared" si="110"/>
        <v>65271.839999999997</v>
      </c>
      <c r="S180" s="23">
        <v>0.1</v>
      </c>
      <c r="T180" s="18">
        <f t="shared" si="111"/>
        <v>308474.92800000001</v>
      </c>
      <c r="U180" s="22">
        <f t="shared" si="117"/>
        <v>0.47260032504062999</v>
      </c>
      <c r="V180" s="66">
        <f t="shared" si="112"/>
        <v>19581.552</v>
      </c>
      <c r="W180" s="23">
        <v>0.03</v>
      </c>
      <c r="X180" s="68">
        <v>170</v>
      </c>
      <c r="Y180" s="34">
        <f t="shared" si="100"/>
        <v>204000</v>
      </c>
      <c r="Z180" s="23">
        <f t="shared" si="118"/>
        <v>0.31253906738342302</v>
      </c>
      <c r="AA180" s="66">
        <f t="shared" si="108"/>
        <v>39163.103999999999</v>
      </c>
      <c r="AB180" s="37">
        <v>0.06</v>
      </c>
      <c r="AC180" s="18">
        <f t="shared" si="107"/>
        <v>26108.736000000001</v>
      </c>
      <c r="AD180" s="69">
        <v>0.02</v>
      </c>
      <c r="AE180" s="66">
        <v>0</v>
      </c>
      <c r="AF180" s="69">
        <v>0</v>
      </c>
      <c r="AG180" s="66">
        <f t="shared" si="113"/>
        <v>19621.536</v>
      </c>
      <c r="AH180" s="67">
        <f t="shared" si="114"/>
        <v>3.0061257657207099E-2</v>
      </c>
      <c r="AI180" s="13"/>
      <c r="AJ180" s="13"/>
      <c r="AK180" s="13"/>
      <c r="AL180" s="13"/>
      <c r="AM180" s="13"/>
    </row>
    <row r="181" spans="1:39" s="1" customFormat="1" ht="21" hidden="1" customHeight="1">
      <c r="A181" s="29" t="s">
        <v>56</v>
      </c>
      <c r="B181" s="80" t="s">
        <v>59</v>
      </c>
      <c r="C181" s="94">
        <v>10</v>
      </c>
      <c r="D181" s="94" t="s">
        <v>62</v>
      </c>
      <c r="E181" s="94" t="s">
        <v>35</v>
      </c>
      <c r="F181" s="94" t="s">
        <v>36</v>
      </c>
      <c r="G181" s="94"/>
      <c r="H181" s="94" t="s">
        <v>43</v>
      </c>
      <c r="I181" s="65">
        <v>5000</v>
      </c>
      <c r="J181" s="66">
        <v>79.989999999999995</v>
      </c>
      <c r="K181" s="66">
        <f t="shared" si="106"/>
        <v>543.93200000000002</v>
      </c>
      <c r="L181" s="19">
        <v>6.8</v>
      </c>
      <c r="M181" s="66">
        <f t="shared" si="109"/>
        <v>2719660</v>
      </c>
      <c r="N181" s="67">
        <v>0.08</v>
      </c>
      <c r="O181" s="68">
        <v>15.79</v>
      </c>
      <c r="P181" s="66">
        <f t="shared" si="115"/>
        <v>1162381.8</v>
      </c>
      <c r="Q181" s="23">
        <f t="shared" si="116"/>
        <v>0.42739967495936998</v>
      </c>
      <c r="R181" s="66">
        <f t="shared" si="110"/>
        <v>271966</v>
      </c>
      <c r="S181" s="23">
        <v>0.1</v>
      </c>
      <c r="T181" s="18">
        <f t="shared" si="111"/>
        <v>1285312.2</v>
      </c>
      <c r="U181" s="22">
        <f t="shared" si="117"/>
        <v>0.47260032504062999</v>
      </c>
      <c r="V181" s="66">
        <f t="shared" si="112"/>
        <v>81589.8</v>
      </c>
      <c r="W181" s="23">
        <v>0.03</v>
      </c>
      <c r="X181" s="68">
        <v>170</v>
      </c>
      <c r="Y181" s="34">
        <f t="shared" si="100"/>
        <v>850000</v>
      </c>
      <c r="Z181" s="23">
        <f t="shared" si="118"/>
        <v>0.31253906738342302</v>
      </c>
      <c r="AA181" s="66">
        <f t="shared" si="108"/>
        <v>163179.6</v>
      </c>
      <c r="AB181" s="37">
        <v>0.06</v>
      </c>
      <c r="AC181" s="18">
        <f t="shared" si="107"/>
        <v>108786.4</v>
      </c>
      <c r="AD181" s="69">
        <v>0.02</v>
      </c>
      <c r="AE181" s="66">
        <v>0</v>
      </c>
      <c r="AF181" s="69">
        <v>0</v>
      </c>
      <c r="AG181" s="66">
        <f t="shared" si="113"/>
        <v>81756.399999999907</v>
      </c>
      <c r="AH181" s="67">
        <f t="shared" si="114"/>
        <v>3.0061257657207099E-2</v>
      </c>
      <c r="AI181" s="13"/>
      <c r="AJ181" s="13"/>
      <c r="AK181" s="13"/>
      <c r="AL181" s="13"/>
      <c r="AM181" s="13"/>
    </row>
    <row r="182" spans="1:39" s="1" customFormat="1" ht="21" hidden="1" customHeight="1">
      <c r="A182" s="29" t="s">
        <v>56</v>
      </c>
      <c r="B182" s="80" t="s">
        <v>59</v>
      </c>
      <c r="C182" s="94">
        <v>10</v>
      </c>
      <c r="D182" s="94" t="s">
        <v>63</v>
      </c>
      <c r="E182" s="94" t="s">
        <v>35</v>
      </c>
      <c r="F182" s="94" t="s">
        <v>36</v>
      </c>
      <c r="G182" s="94"/>
      <c r="H182" s="94" t="s">
        <v>43</v>
      </c>
      <c r="I182" s="65">
        <v>1200</v>
      </c>
      <c r="J182" s="66">
        <v>79.989999999999995</v>
      </c>
      <c r="K182" s="66">
        <f t="shared" si="106"/>
        <v>543.93200000000002</v>
      </c>
      <c r="L182" s="19">
        <v>6.8</v>
      </c>
      <c r="M182" s="66">
        <f t="shared" si="109"/>
        <v>652718.4</v>
      </c>
      <c r="N182" s="67">
        <v>0.08</v>
      </c>
      <c r="O182" s="68">
        <v>14.89</v>
      </c>
      <c r="P182" s="66">
        <f t="shared" si="115"/>
        <v>271627.63199999998</v>
      </c>
      <c r="Q182" s="23">
        <f t="shared" si="116"/>
        <v>0.41614826853356701</v>
      </c>
      <c r="R182" s="66">
        <f t="shared" si="110"/>
        <v>65271.839999999997</v>
      </c>
      <c r="S182" s="23">
        <v>0.1</v>
      </c>
      <c r="T182" s="18">
        <f t="shared" si="111"/>
        <v>315818.92800000001</v>
      </c>
      <c r="U182" s="22">
        <f t="shared" si="117"/>
        <v>0.48385173146643301</v>
      </c>
      <c r="V182" s="66">
        <f t="shared" si="112"/>
        <v>19581.552</v>
      </c>
      <c r="W182" s="23">
        <v>0.03</v>
      </c>
      <c r="X182" s="68">
        <v>155</v>
      </c>
      <c r="Y182" s="34">
        <f t="shared" si="100"/>
        <v>186000</v>
      </c>
      <c r="Z182" s="23">
        <f t="shared" si="118"/>
        <v>0.28496209084959201</v>
      </c>
      <c r="AA182" s="66">
        <f t="shared" si="108"/>
        <v>39163.103999999999</v>
      </c>
      <c r="AB182" s="37">
        <v>0.06</v>
      </c>
      <c r="AC182" s="18">
        <f>M182*AD182</f>
        <v>19581.552</v>
      </c>
      <c r="AD182" s="69">
        <v>0.03</v>
      </c>
      <c r="AE182" s="66">
        <v>0</v>
      </c>
      <c r="AF182" s="69">
        <v>0</v>
      </c>
      <c r="AG182" s="66">
        <f t="shared" si="113"/>
        <v>51492.72</v>
      </c>
      <c r="AH182" s="67">
        <f t="shared" si="114"/>
        <v>7.8889640616841797E-2</v>
      </c>
      <c r="AI182" s="13"/>
      <c r="AJ182" s="13"/>
      <c r="AK182" s="13"/>
      <c r="AL182" s="13"/>
      <c r="AM182" s="13"/>
    </row>
    <row r="183" spans="1:39" s="1" customFormat="1" ht="21" hidden="1" customHeight="1">
      <c r="A183" s="92" t="s">
        <v>32</v>
      </c>
      <c r="B183" s="92" t="s">
        <v>33</v>
      </c>
      <c r="C183" s="84">
        <v>11</v>
      </c>
      <c r="D183" s="93" t="s">
        <v>87</v>
      </c>
      <c r="E183" s="93" t="s">
        <v>35</v>
      </c>
      <c r="F183" s="93" t="s">
        <v>36</v>
      </c>
      <c r="G183" s="93"/>
      <c r="H183" s="93" t="s">
        <v>37</v>
      </c>
      <c r="I183" s="85">
        <v>4800</v>
      </c>
      <c r="J183" s="86">
        <v>79.989999999999995</v>
      </c>
      <c r="K183" s="86">
        <f t="shared" si="106"/>
        <v>543.93200000000002</v>
      </c>
      <c r="L183" s="87">
        <v>6.8</v>
      </c>
      <c r="M183" s="86">
        <f t="shared" si="109"/>
        <v>2610873.6</v>
      </c>
      <c r="N183" s="88">
        <v>0.15</v>
      </c>
      <c r="O183" s="89">
        <v>9.8000000000000007</v>
      </c>
      <c r="P183" s="86">
        <f t="shared" si="115"/>
        <v>1103134.08</v>
      </c>
      <c r="Q183" s="90">
        <f t="shared" si="116"/>
        <v>0.42251531441430201</v>
      </c>
      <c r="R183" s="86">
        <f t="shared" si="110"/>
        <v>313304.83199999999</v>
      </c>
      <c r="S183" s="90">
        <v>0.12</v>
      </c>
      <c r="T183" s="86">
        <f t="shared" si="111"/>
        <v>1194434.6880000001</v>
      </c>
      <c r="U183" s="90">
        <f t="shared" si="117"/>
        <v>0.45748468558569799</v>
      </c>
      <c r="V183" s="89">
        <f t="shared" si="112"/>
        <v>78326.207999999999</v>
      </c>
      <c r="W183" s="90">
        <v>0.03</v>
      </c>
      <c r="X183" s="89">
        <v>150</v>
      </c>
      <c r="Y183" s="86">
        <f t="shared" si="100"/>
        <v>720000</v>
      </c>
      <c r="Z183" s="90">
        <f t="shared" si="118"/>
        <v>0.27576976533831399</v>
      </c>
      <c r="AA183" s="95">
        <f>2.8*I183*L183</f>
        <v>91392</v>
      </c>
      <c r="AB183" s="88">
        <f t="shared" ref="AB183:AB188" si="119">AA183/M183</f>
        <v>3.5004375546943398E-2</v>
      </c>
      <c r="AC183" s="86">
        <f>M183*AD183</f>
        <v>78326.207999999999</v>
      </c>
      <c r="AD183" s="91">
        <v>0.03</v>
      </c>
      <c r="AE183" s="86">
        <v>0</v>
      </c>
      <c r="AF183" s="91">
        <v>0</v>
      </c>
      <c r="AG183" s="86">
        <f t="shared" si="113"/>
        <v>226390.272</v>
      </c>
      <c r="AH183" s="88">
        <f t="shared" si="114"/>
        <v>8.6710544700440498E-2</v>
      </c>
    </row>
    <row r="184" spans="1:39" s="1" customFormat="1" ht="21" hidden="1" customHeight="1">
      <c r="A184" s="92" t="s">
        <v>32</v>
      </c>
      <c r="B184" s="92" t="s">
        <v>33</v>
      </c>
      <c r="C184" s="84">
        <v>11</v>
      </c>
      <c r="D184" s="93" t="s">
        <v>94</v>
      </c>
      <c r="E184" s="93" t="s">
        <v>35</v>
      </c>
      <c r="F184" s="60" t="s">
        <v>36</v>
      </c>
      <c r="G184" s="93"/>
      <c r="H184" s="93" t="s">
        <v>37</v>
      </c>
      <c r="I184" s="85">
        <v>3600</v>
      </c>
      <c r="J184" s="86">
        <v>59.99</v>
      </c>
      <c r="K184" s="86">
        <f t="shared" si="106"/>
        <v>407.93200000000002</v>
      </c>
      <c r="L184" s="87">
        <v>6.8</v>
      </c>
      <c r="M184" s="86">
        <f t="shared" si="109"/>
        <v>1468555.2</v>
      </c>
      <c r="N184" s="88">
        <v>0.12</v>
      </c>
      <c r="O184" s="89">
        <v>9.8000000000000007</v>
      </c>
      <c r="P184" s="86">
        <f t="shared" si="115"/>
        <v>636413.90399999998</v>
      </c>
      <c r="Q184" s="90">
        <f t="shared" si="116"/>
        <v>0.433360560093349</v>
      </c>
      <c r="R184" s="86">
        <f t="shared" si="110"/>
        <v>205597.728</v>
      </c>
      <c r="S184" s="90">
        <v>0.14000000000000001</v>
      </c>
      <c r="T184" s="86">
        <f t="shared" si="111"/>
        <v>626543.56799999997</v>
      </c>
      <c r="U184" s="90">
        <f t="shared" si="117"/>
        <v>0.42663943990665099</v>
      </c>
      <c r="V184" s="89">
        <f t="shared" si="112"/>
        <v>44056.656000000003</v>
      </c>
      <c r="W184" s="90">
        <v>0.03</v>
      </c>
      <c r="X184" s="89">
        <v>95</v>
      </c>
      <c r="Y184" s="86">
        <f t="shared" si="100"/>
        <v>342000</v>
      </c>
      <c r="Z184" s="90">
        <f t="shared" si="118"/>
        <v>0.23288195091338801</v>
      </c>
      <c r="AA184" s="95">
        <f>2.67*I184*L184</f>
        <v>65361.599999999999</v>
      </c>
      <c r="AB184" s="90">
        <f t="shared" si="119"/>
        <v>4.4507417902983799E-2</v>
      </c>
      <c r="AC184" s="86">
        <f>M184*AD184</f>
        <v>44056.656000000003</v>
      </c>
      <c r="AD184" s="91">
        <v>0.03</v>
      </c>
      <c r="AE184" s="86">
        <v>0</v>
      </c>
      <c r="AF184" s="91">
        <v>0</v>
      </c>
      <c r="AG184" s="86">
        <f t="shared" si="113"/>
        <v>131068.656</v>
      </c>
      <c r="AH184" s="88">
        <f t="shared" si="114"/>
        <v>8.9250071090279798E-2</v>
      </c>
    </row>
    <row r="185" spans="1:39" s="2" customFormat="1" ht="21" hidden="1" customHeight="1">
      <c r="A185" s="92" t="s">
        <v>32</v>
      </c>
      <c r="B185" s="83" t="s">
        <v>38</v>
      </c>
      <c r="C185" s="84">
        <v>11</v>
      </c>
      <c r="D185" s="93" t="s">
        <v>88</v>
      </c>
      <c r="E185" s="93" t="s">
        <v>35</v>
      </c>
      <c r="F185" s="93" t="s">
        <v>36</v>
      </c>
      <c r="G185" s="93"/>
      <c r="H185" s="93" t="s">
        <v>70</v>
      </c>
      <c r="I185" s="85">
        <v>2400</v>
      </c>
      <c r="J185" s="86">
        <v>29.99</v>
      </c>
      <c r="K185" s="95">
        <f t="shared" si="106"/>
        <v>203.93199999999999</v>
      </c>
      <c r="L185" s="87">
        <v>6.8</v>
      </c>
      <c r="M185" s="95">
        <f t="shared" si="109"/>
        <v>489436.8</v>
      </c>
      <c r="N185" s="88">
        <v>0.12</v>
      </c>
      <c r="O185" s="89">
        <v>5.8</v>
      </c>
      <c r="P185" s="86">
        <f t="shared" si="115"/>
        <v>226803.93599999999</v>
      </c>
      <c r="Q185" s="90">
        <f t="shared" si="116"/>
        <v>0.46339779926642199</v>
      </c>
      <c r="R185" s="95">
        <f t="shared" si="110"/>
        <v>73415.520000000004</v>
      </c>
      <c r="S185" s="90">
        <v>0.15</v>
      </c>
      <c r="T185" s="86">
        <f t="shared" si="111"/>
        <v>189217.34400000001</v>
      </c>
      <c r="U185" s="90">
        <f t="shared" si="117"/>
        <v>0.38660220073357798</v>
      </c>
      <c r="V185" s="89">
        <f t="shared" si="112"/>
        <v>14683.103999999999</v>
      </c>
      <c r="W185" s="90">
        <v>0.03</v>
      </c>
      <c r="X185" s="89">
        <v>40</v>
      </c>
      <c r="Y185" s="86">
        <f t="shared" si="100"/>
        <v>96000</v>
      </c>
      <c r="Z185" s="90">
        <f t="shared" si="118"/>
        <v>0.19614381264343</v>
      </c>
      <c r="AA185" s="95">
        <f>0.91*I185*L185</f>
        <v>14851.2</v>
      </c>
      <c r="AB185" s="90">
        <f t="shared" si="119"/>
        <v>3.03434478159386E-2</v>
      </c>
      <c r="AC185" s="86">
        <f t="shared" ref="AC185:AC198" si="120">M185*0.04</f>
        <v>19577.472000000002</v>
      </c>
      <c r="AD185" s="91">
        <f>AC185/M185</f>
        <v>0.04</v>
      </c>
      <c r="AE185" s="86">
        <v>0</v>
      </c>
      <c r="AF185" s="91">
        <f t="shared" ref="AF185:AF190" si="121">AE185/M185</f>
        <v>0</v>
      </c>
      <c r="AG185" s="86">
        <f t="shared" si="113"/>
        <v>44105.567999999999</v>
      </c>
      <c r="AH185" s="88">
        <f t="shared" si="114"/>
        <v>9.0114940274209104E-2</v>
      </c>
    </row>
    <row r="186" spans="1:39" s="2" customFormat="1" ht="21" hidden="1" customHeight="1">
      <c r="A186" s="92" t="s">
        <v>32</v>
      </c>
      <c r="B186" s="83" t="s">
        <v>38</v>
      </c>
      <c r="C186" s="84">
        <v>11</v>
      </c>
      <c r="D186" s="93" t="s">
        <v>89</v>
      </c>
      <c r="E186" s="93" t="s">
        <v>35</v>
      </c>
      <c r="F186" s="93" t="s">
        <v>36</v>
      </c>
      <c r="G186" s="93"/>
      <c r="H186" s="93" t="s">
        <v>70</v>
      </c>
      <c r="I186" s="85">
        <v>1200</v>
      </c>
      <c r="J186" s="86">
        <v>49.99</v>
      </c>
      <c r="K186" s="95">
        <f t="shared" si="106"/>
        <v>339.93200000000002</v>
      </c>
      <c r="L186" s="87">
        <v>6.8</v>
      </c>
      <c r="M186" s="95">
        <f t="shared" si="109"/>
        <v>407918.4</v>
      </c>
      <c r="N186" s="88">
        <v>0.12</v>
      </c>
      <c r="O186" s="89">
        <v>6.35</v>
      </c>
      <c r="P186" s="86">
        <f t="shared" si="115"/>
        <v>161953.96799999999</v>
      </c>
      <c r="Q186" s="90">
        <f t="shared" si="116"/>
        <v>0.39702540508101603</v>
      </c>
      <c r="R186" s="95">
        <f t="shared" si="110"/>
        <v>61187.76</v>
      </c>
      <c r="S186" s="90">
        <v>0.15</v>
      </c>
      <c r="T186" s="86">
        <f t="shared" si="111"/>
        <v>184776.67199999999</v>
      </c>
      <c r="U186" s="90">
        <f t="shared" si="117"/>
        <v>0.45297459491898401</v>
      </c>
      <c r="V186" s="89">
        <f t="shared" si="112"/>
        <v>12237.552</v>
      </c>
      <c r="W186" s="90">
        <v>0.03</v>
      </c>
      <c r="X186" s="89">
        <v>80</v>
      </c>
      <c r="Y186" s="86">
        <f t="shared" si="100"/>
        <v>96000</v>
      </c>
      <c r="Z186" s="90">
        <f t="shared" si="118"/>
        <v>0.235341185884236</v>
      </c>
      <c r="AA186" s="95">
        <f>1.55*I186*L186</f>
        <v>12648</v>
      </c>
      <c r="AB186" s="90">
        <f t="shared" si="119"/>
        <v>3.1006201240247999E-2</v>
      </c>
      <c r="AC186" s="86">
        <f t="shared" si="120"/>
        <v>16316.736000000001</v>
      </c>
      <c r="AD186" s="91">
        <f>AC186/M186</f>
        <v>0.04</v>
      </c>
      <c r="AE186" s="86">
        <v>0</v>
      </c>
      <c r="AF186" s="91">
        <f t="shared" si="121"/>
        <v>0</v>
      </c>
      <c r="AG186" s="86">
        <f t="shared" si="113"/>
        <v>47574.383999999998</v>
      </c>
      <c r="AH186" s="88">
        <f t="shared" si="114"/>
        <v>0.1166272077945</v>
      </c>
    </row>
    <row r="187" spans="1:39" s="2" customFormat="1" ht="21" hidden="1" customHeight="1">
      <c r="A187" s="92" t="s">
        <v>32</v>
      </c>
      <c r="B187" s="83" t="s">
        <v>90</v>
      </c>
      <c r="C187" s="84">
        <v>11</v>
      </c>
      <c r="D187" s="93" t="s">
        <v>91</v>
      </c>
      <c r="E187" s="93" t="s">
        <v>35</v>
      </c>
      <c r="F187" s="93" t="s">
        <v>36</v>
      </c>
      <c r="G187" s="93"/>
      <c r="H187" s="93" t="s">
        <v>37</v>
      </c>
      <c r="I187" s="85">
        <v>4000</v>
      </c>
      <c r="J187" s="86">
        <v>29.99</v>
      </c>
      <c r="K187" s="95">
        <f t="shared" si="106"/>
        <v>203.93199999999999</v>
      </c>
      <c r="L187" s="87">
        <v>6.8</v>
      </c>
      <c r="M187" s="95">
        <f t="shared" si="109"/>
        <v>815728</v>
      </c>
      <c r="N187" s="88">
        <v>0.08</v>
      </c>
      <c r="O187" s="89">
        <v>4.54</v>
      </c>
      <c r="P187" s="86">
        <f t="shared" si="115"/>
        <v>311105.44</v>
      </c>
      <c r="Q187" s="90">
        <f t="shared" si="116"/>
        <v>0.38138379459819899</v>
      </c>
      <c r="R187" s="95">
        <f t="shared" si="110"/>
        <v>122359.2</v>
      </c>
      <c r="S187" s="90">
        <v>0.15</v>
      </c>
      <c r="T187" s="86">
        <f t="shared" si="111"/>
        <v>382263.36</v>
      </c>
      <c r="U187" s="90">
        <f t="shared" si="117"/>
        <v>0.46861620540180099</v>
      </c>
      <c r="V187" s="89">
        <f t="shared" si="112"/>
        <v>24471.84</v>
      </c>
      <c r="W187" s="90">
        <v>0.03</v>
      </c>
      <c r="X187" s="89">
        <v>36</v>
      </c>
      <c r="Y187" s="86">
        <f t="shared" si="100"/>
        <v>144000</v>
      </c>
      <c r="Z187" s="90">
        <f t="shared" si="118"/>
        <v>0.176529431379087</v>
      </c>
      <c r="AA187" s="95">
        <f>1.3*I187*L187</f>
        <v>35360</v>
      </c>
      <c r="AB187" s="90">
        <f t="shared" si="119"/>
        <v>4.3347782594198102E-2</v>
      </c>
      <c r="AC187" s="86">
        <f t="shared" si="120"/>
        <v>32629.119999999999</v>
      </c>
      <c r="AD187" s="91">
        <v>0.02</v>
      </c>
      <c r="AE187" s="86">
        <v>0</v>
      </c>
      <c r="AF187" s="91">
        <f t="shared" si="121"/>
        <v>0</v>
      </c>
      <c r="AG187" s="86">
        <f t="shared" si="113"/>
        <v>145802.4</v>
      </c>
      <c r="AH187" s="88">
        <f t="shared" si="114"/>
        <v>0.17873899142851499</v>
      </c>
    </row>
    <row r="188" spans="1:39" s="2" customFormat="1" ht="21" hidden="1" customHeight="1">
      <c r="A188" s="92" t="s">
        <v>32</v>
      </c>
      <c r="B188" s="92" t="s">
        <v>40</v>
      </c>
      <c r="C188" s="84">
        <v>11</v>
      </c>
      <c r="D188" s="93" t="s">
        <v>41</v>
      </c>
      <c r="E188" s="93" t="s">
        <v>42</v>
      </c>
      <c r="F188" s="93" t="s">
        <v>36</v>
      </c>
      <c r="G188" s="93"/>
      <c r="H188" s="93" t="s">
        <v>43</v>
      </c>
      <c r="I188" s="85">
        <v>3000</v>
      </c>
      <c r="J188" s="86">
        <v>71.989999999999995</v>
      </c>
      <c r="K188" s="86">
        <f t="shared" si="106"/>
        <v>489.53199999999998</v>
      </c>
      <c r="L188" s="87">
        <v>6.8</v>
      </c>
      <c r="M188" s="86">
        <f t="shared" si="109"/>
        <v>1468596</v>
      </c>
      <c r="N188" s="88">
        <v>0.04</v>
      </c>
      <c r="O188" s="89">
        <v>17.690000000000001</v>
      </c>
      <c r="P188" s="86">
        <f t="shared" si="115"/>
        <v>639909.24</v>
      </c>
      <c r="Q188" s="90">
        <f t="shared" si="116"/>
        <v>0.435728573412974</v>
      </c>
      <c r="R188" s="86">
        <f t="shared" si="110"/>
        <v>117487.67999999999</v>
      </c>
      <c r="S188" s="90">
        <v>0.08</v>
      </c>
      <c r="T188" s="86">
        <f t="shared" si="111"/>
        <v>711199.08</v>
      </c>
      <c r="U188" s="90">
        <f t="shared" si="117"/>
        <v>0.48427142658702599</v>
      </c>
      <c r="V188" s="89">
        <f t="shared" si="112"/>
        <v>29371.919999999998</v>
      </c>
      <c r="W188" s="90">
        <v>0.02</v>
      </c>
      <c r="X188" s="89">
        <v>129.5</v>
      </c>
      <c r="Y188" s="86">
        <f t="shared" si="100"/>
        <v>388500</v>
      </c>
      <c r="Z188" s="90">
        <f t="shared" si="118"/>
        <v>0.26453837542795999</v>
      </c>
      <c r="AA188" s="86">
        <f>10.13*I188*L188</f>
        <v>206652</v>
      </c>
      <c r="AB188" s="90">
        <f t="shared" si="119"/>
        <v>0.14071398805389601</v>
      </c>
      <c r="AC188" s="86">
        <f t="shared" si="120"/>
        <v>58743.839999999997</v>
      </c>
      <c r="AD188" s="91">
        <f t="shared" ref="AD188:AD198" si="122">AC188/M188</f>
        <v>0.04</v>
      </c>
      <c r="AE188" s="86">
        <v>0</v>
      </c>
      <c r="AF188" s="91">
        <f t="shared" si="121"/>
        <v>0</v>
      </c>
      <c r="AG188" s="86">
        <f t="shared" si="113"/>
        <v>27931.319999999901</v>
      </c>
      <c r="AH188" s="88">
        <f t="shared" si="114"/>
        <v>1.9019063105169799E-2</v>
      </c>
    </row>
    <row r="189" spans="1:39" s="1" customFormat="1" ht="21" hidden="1" customHeight="1">
      <c r="A189" s="92" t="s">
        <v>32</v>
      </c>
      <c r="B189" s="92" t="s">
        <v>40</v>
      </c>
      <c r="C189" s="84">
        <v>11</v>
      </c>
      <c r="D189" s="93" t="s">
        <v>44</v>
      </c>
      <c r="E189" s="93" t="s">
        <v>42</v>
      </c>
      <c r="F189" s="93" t="s">
        <v>36</v>
      </c>
      <c r="G189" s="93"/>
      <c r="H189" s="93" t="s">
        <v>43</v>
      </c>
      <c r="I189" s="85">
        <v>3600</v>
      </c>
      <c r="J189" s="86">
        <v>119.99</v>
      </c>
      <c r="K189" s="86">
        <f t="shared" si="106"/>
        <v>815.93200000000002</v>
      </c>
      <c r="L189" s="87">
        <v>6.8</v>
      </c>
      <c r="M189" s="86">
        <f t="shared" si="109"/>
        <v>2937355.2</v>
      </c>
      <c r="N189" s="88">
        <v>0.04</v>
      </c>
      <c r="O189" s="89">
        <v>19.59</v>
      </c>
      <c r="P189" s="86">
        <f t="shared" si="115"/>
        <v>1037660.688</v>
      </c>
      <c r="Q189" s="90">
        <f t="shared" si="116"/>
        <v>0.35326360530044199</v>
      </c>
      <c r="R189" s="86">
        <f t="shared" si="110"/>
        <v>234988.416</v>
      </c>
      <c r="S189" s="90">
        <v>0.08</v>
      </c>
      <c r="T189" s="86">
        <f t="shared" si="111"/>
        <v>1664706.0959999999</v>
      </c>
      <c r="U189" s="90">
        <f t="shared" si="117"/>
        <v>0.56673639469955805</v>
      </c>
      <c r="V189" s="89">
        <f t="shared" si="112"/>
        <v>58747.103999999999</v>
      </c>
      <c r="W189" s="90">
        <v>0.02</v>
      </c>
      <c r="X189" s="89">
        <v>163.5</v>
      </c>
      <c r="Y189" s="86">
        <f t="shared" si="100"/>
        <v>588600</v>
      </c>
      <c r="Z189" s="90">
        <f t="shared" si="118"/>
        <v>0.200384345754303</v>
      </c>
      <c r="AA189" s="86">
        <f>M189*AB189</f>
        <v>264361.96799999999</v>
      </c>
      <c r="AB189" s="90">
        <v>0.09</v>
      </c>
      <c r="AC189" s="86">
        <f t="shared" si="120"/>
        <v>117494.208</v>
      </c>
      <c r="AD189" s="91">
        <f t="shared" si="122"/>
        <v>0.04</v>
      </c>
      <c r="AE189" s="86">
        <v>0</v>
      </c>
      <c r="AF189" s="91">
        <f t="shared" si="121"/>
        <v>0</v>
      </c>
      <c r="AG189" s="86">
        <f t="shared" si="113"/>
        <v>635502.81599999999</v>
      </c>
      <c r="AH189" s="88">
        <f t="shared" si="114"/>
        <v>0.216352048945255</v>
      </c>
      <c r="AI189" s="13"/>
      <c r="AJ189" s="13"/>
      <c r="AK189" s="13"/>
      <c r="AL189" s="13"/>
      <c r="AM189" s="13"/>
    </row>
    <row r="190" spans="1:39" s="1" customFormat="1" ht="21" hidden="1" customHeight="1">
      <c r="A190" s="92" t="s">
        <v>32</v>
      </c>
      <c r="B190" s="92" t="s">
        <v>40</v>
      </c>
      <c r="C190" s="84">
        <v>11</v>
      </c>
      <c r="D190" s="93" t="s">
        <v>45</v>
      </c>
      <c r="E190" s="93" t="s">
        <v>42</v>
      </c>
      <c r="F190" s="93" t="s">
        <v>36</v>
      </c>
      <c r="G190" s="93"/>
      <c r="H190" s="93" t="s">
        <v>43</v>
      </c>
      <c r="I190" s="85">
        <v>600</v>
      </c>
      <c r="J190" s="86">
        <v>149.99</v>
      </c>
      <c r="K190" s="86">
        <f t="shared" si="106"/>
        <v>1019.932</v>
      </c>
      <c r="L190" s="87">
        <v>6.8</v>
      </c>
      <c r="M190" s="86">
        <f t="shared" si="109"/>
        <v>611959.19999999995</v>
      </c>
      <c r="N190" s="88">
        <v>0.04</v>
      </c>
      <c r="O190" s="89">
        <v>23.57</v>
      </c>
      <c r="P190" s="86">
        <f t="shared" si="115"/>
        <v>212437.848</v>
      </c>
      <c r="Q190" s="90">
        <f t="shared" si="116"/>
        <v>0.34714380958730601</v>
      </c>
      <c r="R190" s="86">
        <f t="shared" si="110"/>
        <v>48956.735999999997</v>
      </c>
      <c r="S190" s="90">
        <v>0.08</v>
      </c>
      <c r="T190" s="86">
        <f t="shared" si="111"/>
        <v>350564.61599999998</v>
      </c>
      <c r="U190" s="90">
        <f t="shared" si="117"/>
        <v>0.57285619041269398</v>
      </c>
      <c r="V190" s="89">
        <f t="shared" si="112"/>
        <v>12239.183999999999</v>
      </c>
      <c r="W190" s="90">
        <v>0.02</v>
      </c>
      <c r="X190" s="89">
        <v>241</v>
      </c>
      <c r="Y190" s="86">
        <f t="shared" si="100"/>
        <v>144600</v>
      </c>
      <c r="Z190" s="90">
        <f t="shared" si="118"/>
        <v>0.23629026248808699</v>
      </c>
      <c r="AA190" s="86">
        <f>M190*AB190</f>
        <v>48956.735999999997</v>
      </c>
      <c r="AB190" s="90">
        <v>0.08</v>
      </c>
      <c r="AC190" s="86">
        <f t="shared" si="120"/>
        <v>24478.367999999999</v>
      </c>
      <c r="AD190" s="91">
        <f t="shared" si="122"/>
        <v>0.04</v>
      </c>
      <c r="AE190" s="86">
        <v>0</v>
      </c>
      <c r="AF190" s="91">
        <f t="shared" si="121"/>
        <v>0</v>
      </c>
      <c r="AG190" s="86">
        <f t="shared" si="113"/>
        <v>120290.32799999999</v>
      </c>
      <c r="AH190" s="88">
        <f t="shared" si="114"/>
        <v>0.196565927924607</v>
      </c>
      <c r="AI190" s="13"/>
      <c r="AJ190" s="13"/>
      <c r="AK190" s="13"/>
      <c r="AL190" s="13"/>
      <c r="AM190" s="13"/>
    </row>
    <row r="191" spans="1:39" s="2" customFormat="1" ht="21" hidden="1" customHeight="1">
      <c r="A191" s="92" t="s">
        <v>32</v>
      </c>
      <c r="B191" s="92" t="s">
        <v>46</v>
      </c>
      <c r="C191" s="84">
        <v>11</v>
      </c>
      <c r="D191" s="93" t="s">
        <v>47</v>
      </c>
      <c r="E191" s="93" t="s">
        <v>42</v>
      </c>
      <c r="F191" s="93" t="s">
        <v>36</v>
      </c>
      <c r="G191" s="93"/>
      <c r="H191" s="93" t="s">
        <v>43</v>
      </c>
      <c r="I191" s="85">
        <v>2350</v>
      </c>
      <c r="J191" s="86">
        <v>112.99</v>
      </c>
      <c r="K191" s="86">
        <f t="shared" si="106"/>
        <v>768.33199999999999</v>
      </c>
      <c r="L191" s="87">
        <v>6.8</v>
      </c>
      <c r="M191" s="86">
        <f t="shared" si="109"/>
        <v>1805580.2</v>
      </c>
      <c r="N191" s="88">
        <v>0.04</v>
      </c>
      <c r="O191" s="89">
        <v>23.57</v>
      </c>
      <c r="P191" s="86">
        <f t="shared" si="115"/>
        <v>719708.83799999999</v>
      </c>
      <c r="Q191" s="90">
        <f t="shared" si="116"/>
        <v>0.39860253119745098</v>
      </c>
      <c r="R191" s="86">
        <f t="shared" si="110"/>
        <v>180558.02</v>
      </c>
      <c r="S191" s="90">
        <v>0.1</v>
      </c>
      <c r="T191" s="86">
        <f t="shared" si="111"/>
        <v>905313.34199999995</v>
      </c>
      <c r="U191" s="90">
        <f t="shared" si="117"/>
        <v>0.50139746880254898</v>
      </c>
      <c r="V191" s="89">
        <f t="shared" si="112"/>
        <v>36111.603999999999</v>
      </c>
      <c r="W191" s="90">
        <v>0.02</v>
      </c>
      <c r="X191" s="89">
        <v>176</v>
      </c>
      <c r="Y191" s="86">
        <f t="shared" si="100"/>
        <v>413600</v>
      </c>
      <c r="Z191" s="90">
        <v>0.28000000000000003</v>
      </c>
      <c r="AA191" s="86">
        <f>M191*AB191</f>
        <v>126390.614</v>
      </c>
      <c r="AB191" s="90">
        <v>7.0000000000000007E-2</v>
      </c>
      <c r="AC191" s="86">
        <f t="shared" si="120"/>
        <v>72223.207999999999</v>
      </c>
      <c r="AD191" s="91">
        <f t="shared" si="122"/>
        <v>0.04</v>
      </c>
      <c r="AE191" s="86">
        <v>0</v>
      </c>
      <c r="AF191" s="91">
        <v>0</v>
      </c>
      <c r="AG191" s="86">
        <f t="shared" si="113"/>
        <v>256987.916</v>
      </c>
      <c r="AH191" s="88">
        <f t="shared" si="114"/>
        <v>0.142329826168896</v>
      </c>
    </row>
    <row r="192" spans="1:39" s="2" customFormat="1" ht="21" hidden="1" customHeight="1">
      <c r="A192" s="92" t="s">
        <v>32</v>
      </c>
      <c r="B192" s="92" t="s">
        <v>46</v>
      </c>
      <c r="C192" s="84">
        <v>11</v>
      </c>
      <c r="D192" s="93" t="s">
        <v>48</v>
      </c>
      <c r="E192" s="93" t="s">
        <v>42</v>
      </c>
      <c r="F192" s="93" t="s">
        <v>36</v>
      </c>
      <c r="G192" s="93"/>
      <c r="H192" s="93" t="s">
        <v>43</v>
      </c>
      <c r="I192" s="85">
        <v>2000</v>
      </c>
      <c r="J192" s="86">
        <v>159.99</v>
      </c>
      <c r="K192" s="86">
        <f t="shared" si="106"/>
        <v>1087.932</v>
      </c>
      <c r="L192" s="87">
        <v>6.8</v>
      </c>
      <c r="M192" s="86">
        <f t="shared" si="109"/>
        <v>2175864</v>
      </c>
      <c r="N192" s="88">
        <v>0.04</v>
      </c>
      <c r="O192" s="89">
        <v>29.27</v>
      </c>
      <c r="P192" s="86">
        <f t="shared" si="115"/>
        <v>811486.16</v>
      </c>
      <c r="Q192" s="90">
        <f t="shared" si="116"/>
        <v>0.37294893430839399</v>
      </c>
      <c r="R192" s="86">
        <f t="shared" si="110"/>
        <v>217586.4</v>
      </c>
      <c r="S192" s="90">
        <v>0.1</v>
      </c>
      <c r="T192" s="86">
        <f t="shared" si="111"/>
        <v>1146791.44</v>
      </c>
      <c r="U192" s="90">
        <f t="shared" si="117"/>
        <v>0.52705106569160598</v>
      </c>
      <c r="V192" s="89">
        <f t="shared" si="112"/>
        <v>43517.279999999999</v>
      </c>
      <c r="W192" s="90">
        <v>0.02</v>
      </c>
      <c r="X192" s="89">
        <v>280.3</v>
      </c>
      <c r="Y192" s="86">
        <f t="shared" si="100"/>
        <v>560600</v>
      </c>
      <c r="Z192" s="90">
        <f t="shared" ref="Z192:Z201" si="123">Y192/M192</f>
        <v>0.25764477926929302</v>
      </c>
      <c r="AA192" s="86">
        <f>M192*AB192</f>
        <v>152310.48000000001</v>
      </c>
      <c r="AB192" s="90">
        <v>7.0000000000000007E-2</v>
      </c>
      <c r="AC192" s="86">
        <f t="shared" si="120"/>
        <v>87034.559999999998</v>
      </c>
      <c r="AD192" s="91">
        <f t="shared" si="122"/>
        <v>0.04</v>
      </c>
      <c r="AE192" s="86">
        <v>0</v>
      </c>
      <c r="AF192" s="91">
        <v>0</v>
      </c>
      <c r="AG192" s="86">
        <f t="shared" si="113"/>
        <v>303329.12</v>
      </c>
      <c r="AH192" s="88">
        <f t="shared" si="114"/>
        <v>0.13940628642231301</v>
      </c>
    </row>
    <row r="193" spans="1:39" s="2" customFormat="1" ht="21" hidden="1" customHeight="1">
      <c r="A193" s="92" t="s">
        <v>32</v>
      </c>
      <c r="B193" s="92" t="s">
        <v>46</v>
      </c>
      <c r="C193" s="84">
        <v>11</v>
      </c>
      <c r="D193" s="93" t="s">
        <v>53</v>
      </c>
      <c r="E193" s="93" t="s">
        <v>42</v>
      </c>
      <c r="F193" s="93" t="s">
        <v>36</v>
      </c>
      <c r="G193" s="93"/>
      <c r="H193" s="93" t="s">
        <v>37</v>
      </c>
      <c r="I193" s="85">
        <v>1500</v>
      </c>
      <c r="J193" s="86">
        <v>89.99</v>
      </c>
      <c r="K193" s="86">
        <f t="shared" si="106"/>
        <v>611.93200000000002</v>
      </c>
      <c r="L193" s="87">
        <v>6.8</v>
      </c>
      <c r="M193" s="86">
        <f t="shared" si="109"/>
        <v>917898</v>
      </c>
      <c r="N193" s="88">
        <v>0.03</v>
      </c>
      <c r="O193" s="89">
        <v>18.63</v>
      </c>
      <c r="P193" s="86">
        <f t="shared" si="115"/>
        <v>355247.64</v>
      </c>
      <c r="Q193" s="90">
        <f t="shared" si="116"/>
        <v>0.38702300255583999</v>
      </c>
      <c r="R193" s="86">
        <f t="shared" si="110"/>
        <v>119326.74</v>
      </c>
      <c r="S193" s="90">
        <v>0.13</v>
      </c>
      <c r="T193" s="86">
        <f t="shared" si="111"/>
        <v>443323.62</v>
      </c>
      <c r="U193" s="90">
        <f t="shared" si="117"/>
        <v>0.48297699744416001</v>
      </c>
      <c r="V193" s="89">
        <f t="shared" si="112"/>
        <v>18357.96</v>
      </c>
      <c r="W193" s="90">
        <v>0.02</v>
      </c>
      <c r="X193" s="89">
        <v>143</v>
      </c>
      <c r="Y193" s="86">
        <f t="shared" si="100"/>
        <v>214500</v>
      </c>
      <c r="Z193" s="90">
        <f t="shared" si="123"/>
        <v>0.23368609584071401</v>
      </c>
      <c r="AA193" s="86">
        <f>10.13*I193*L193</f>
        <v>103326</v>
      </c>
      <c r="AB193" s="90">
        <f>AA193/M193</f>
        <v>0.11256806311812401</v>
      </c>
      <c r="AC193" s="86">
        <f t="shared" si="120"/>
        <v>36715.919999999998</v>
      </c>
      <c r="AD193" s="91">
        <f t="shared" si="122"/>
        <v>0.04</v>
      </c>
      <c r="AE193" s="86">
        <v>0</v>
      </c>
      <c r="AF193" s="91">
        <f>AE193/M193</f>
        <v>0</v>
      </c>
      <c r="AG193" s="86">
        <f t="shared" si="113"/>
        <v>70423.740000000005</v>
      </c>
      <c r="AH193" s="88">
        <f t="shared" si="114"/>
        <v>7.6722838485321895E-2</v>
      </c>
    </row>
    <row r="194" spans="1:39" s="2" customFormat="1" ht="21" hidden="1" customHeight="1">
      <c r="A194" s="92" t="s">
        <v>32</v>
      </c>
      <c r="B194" s="92" t="s">
        <v>46</v>
      </c>
      <c r="C194" s="84">
        <v>11</v>
      </c>
      <c r="D194" s="93" t="s">
        <v>54</v>
      </c>
      <c r="E194" s="93" t="s">
        <v>42</v>
      </c>
      <c r="F194" s="93" t="s">
        <v>36</v>
      </c>
      <c r="G194" s="93"/>
      <c r="H194" s="93" t="s">
        <v>37</v>
      </c>
      <c r="I194" s="85">
        <v>600</v>
      </c>
      <c r="J194" s="86">
        <v>109.99</v>
      </c>
      <c r="K194" s="86">
        <f t="shared" si="106"/>
        <v>747.93200000000002</v>
      </c>
      <c r="L194" s="87">
        <v>6.8</v>
      </c>
      <c r="M194" s="86">
        <f t="shared" si="109"/>
        <v>448759.2</v>
      </c>
      <c r="N194" s="88">
        <v>0.03</v>
      </c>
      <c r="O194" s="89">
        <v>20.149999999999999</v>
      </c>
      <c r="P194" s="86">
        <f t="shared" si="115"/>
        <v>162988.65599999999</v>
      </c>
      <c r="Q194" s="90">
        <f t="shared" si="116"/>
        <v>0.36319847258841698</v>
      </c>
      <c r="R194" s="86">
        <f t="shared" si="110"/>
        <v>67313.88</v>
      </c>
      <c r="S194" s="90">
        <v>0.15</v>
      </c>
      <c r="T194" s="86">
        <f t="shared" si="111"/>
        <v>218456.66399999999</v>
      </c>
      <c r="U194" s="90">
        <f t="shared" si="117"/>
        <v>0.486801527411583</v>
      </c>
      <c r="V194" s="89">
        <f t="shared" si="112"/>
        <v>8975.1839999999993</v>
      </c>
      <c r="W194" s="90">
        <v>0.02</v>
      </c>
      <c r="X194" s="89">
        <v>148</v>
      </c>
      <c r="Y194" s="86">
        <f t="shared" si="100"/>
        <v>88800</v>
      </c>
      <c r="Z194" s="90">
        <f t="shared" si="123"/>
        <v>0.19787895156244201</v>
      </c>
      <c r="AA194" s="86">
        <f>1.11*I194*L194</f>
        <v>4528.8</v>
      </c>
      <c r="AB194" s="90">
        <f>AA194/M194</f>
        <v>1.0091826529684499E-2</v>
      </c>
      <c r="AC194" s="86">
        <f t="shared" si="120"/>
        <v>17950.367999999999</v>
      </c>
      <c r="AD194" s="91">
        <f t="shared" si="122"/>
        <v>0.04</v>
      </c>
      <c r="AE194" s="86">
        <v>0</v>
      </c>
      <c r="AF194" s="91">
        <f>AE194/M194</f>
        <v>0</v>
      </c>
      <c r="AG194" s="86">
        <f t="shared" si="113"/>
        <v>98202.312000000005</v>
      </c>
      <c r="AH194" s="88">
        <f t="shared" si="114"/>
        <v>0.21883074931945701</v>
      </c>
    </row>
    <row r="195" spans="1:39" s="1" customFormat="1" ht="21" hidden="1" customHeight="1">
      <c r="A195" s="92" t="s">
        <v>32</v>
      </c>
      <c r="B195" s="92" t="s">
        <v>46</v>
      </c>
      <c r="C195" s="84">
        <v>11</v>
      </c>
      <c r="D195" s="93" t="s">
        <v>55</v>
      </c>
      <c r="E195" s="93" t="s">
        <v>42</v>
      </c>
      <c r="F195" s="93" t="s">
        <v>36</v>
      </c>
      <c r="G195" s="93"/>
      <c r="H195" s="93" t="s">
        <v>37</v>
      </c>
      <c r="I195" s="85">
        <v>900</v>
      </c>
      <c r="J195" s="86">
        <v>129.99</v>
      </c>
      <c r="K195" s="86">
        <f t="shared" si="106"/>
        <v>883.93200000000002</v>
      </c>
      <c r="L195" s="87">
        <v>6.8</v>
      </c>
      <c r="M195" s="86">
        <f t="shared" si="109"/>
        <v>795538.8</v>
      </c>
      <c r="N195" s="88">
        <v>0.03</v>
      </c>
      <c r="O195" s="89">
        <v>20.53</v>
      </c>
      <c r="P195" s="86">
        <f t="shared" si="115"/>
        <v>268840.58399999997</v>
      </c>
      <c r="Q195" s="90">
        <f t="shared" si="116"/>
        <v>0.33793522578659901</v>
      </c>
      <c r="R195" s="86">
        <f t="shared" si="110"/>
        <v>119330.82</v>
      </c>
      <c r="S195" s="90">
        <v>0.15</v>
      </c>
      <c r="T195" s="86">
        <f t="shared" si="111"/>
        <v>407367.39600000001</v>
      </c>
      <c r="U195" s="90">
        <f t="shared" si="117"/>
        <v>0.51206477421340102</v>
      </c>
      <c r="V195" s="89">
        <f t="shared" si="112"/>
        <v>15910.776</v>
      </c>
      <c r="W195" s="90">
        <v>0.02</v>
      </c>
      <c r="X195" s="89">
        <v>165</v>
      </c>
      <c r="Y195" s="86">
        <f t="shared" si="100"/>
        <v>148500</v>
      </c>
      <c r="Z195" s="90">
        <f t="shared" si="123"/>
        <v>0.18666594262907099</v>
      </c>
      <c r="AA195" s="86">
        <f>M195*AB195</f>
        <v>63643.103999999999</v>
      </c>
      <c r="AB195" s="90">
        <v>0.08</v>
      </c>
      <c r="AC195" s="86">
        <f t="shared" si="120"/>
        <v>31821.552</v>
      </c>
      <c r="AD195" s="91">
        <f t="shared" si="122"/>
        <v>0.04</v>
      </c>
      <c r="AE195" s="86">
        <v>0</v>
      </c>
      <c r="AF195" s="91">
        <f>AE195/M195</f>
        <v>0</v>
      </c>
      <c r="AG195" s="86">
        <f t="shared" si="113"/>
        <v>147491.96400000001</v>
      </c>
      <c r="AH195" s="88">
        <f t="shared" si="114"/>
        <v>0.18539883158432999</v>
      </c>
      <c r="AI195" s="13"/>
      <c r="AJ195" s="13"/>
      <c r="AK195" s="13"/>
      <c r="AL195" s="13"/>
      <c r="AM195" s="13"/>
    </row>
    <row r="196" spans="1:39" s="2" customFormat="1" ht="21" hidden="1" customHeight="1">
      <c r="A196" s="92" t="s">
        <v>32</v>
      </c>
      <c r="B196" s="83" t="s">
        <v>84</v>
      </c>
      <c r="C196" s="84">
        <v>11</v>
      </c>
      <c r="D196" s="93" t="s">
        <v>96</v>
      </c>
      <c r="E196" s="93" t="s">
        <v>75</v>
      </c>
      <c r="F196" s="93" t="s">
        <v>79</v>
      </c>
      <c r="G196" s="93"/>
      <c r="H196" s="93" t="s">
        <v>43</v>
      </c>
      <c r="I196" s="85">
        <v>500</v>
      </c>
      <c r="J196" s="86">
        <v>89.99</v>
      </c>
      <c r="K196" s="86">
        <f t="shared" si="106"/>
        <v>611.93200000000002</v>
      </c>
      <c r="L196" s="87">
        <v>6.8</v>
      </c>
      <c r="M196" s="86">
        <f t="shared" si="109"/>
        <v>305966</v>
      </c>
      <c r="N196" s="88">
        <v>0.14000000000000001</v>
      </c>
      <c r="O196" s="89">
        <v>11</v>
      </c>
      <c r="P196" s="86">
        <f t="shared" si="115"/>
        <v>126130.14</v>
      </c>
      <c r="Q196" s="90">
        <f t="shared" si="116"/>
        <v>0.41223580397822002</v>
      </c>
      <c r="R196" s="86">
        <f t="shared" si="110"/>
        <v>36715.919999999998</v>
      </c>
      <c r="S196" s="90">
        <v>0.12</v>
      </c>
      <c r="T196" s="86">
        <f t="shared" si="111"/>
        <v>143119.94</v>
      </c>
      <c r="U196" s="90">
        <f t="shared" si="117"/>
        <v>0.46776419602177999</v>
      </c>
      <c r="V196" s="89">
        <f t="shared" si="112"/>
        <v>9178.98</v>
      </c>
      <c r="W196" s="90">
        <v>0.03</v>
      </c>
      <c r="X196" s="89">
        <v>130.30000000000001</v>
      </c>
      <c r="Y196" s="86">
        <f t="shared" si="100"/>
        <v>65150</v>
      </c>
      <c r="Z196" s="90">
        <f t="shared" si="123"/>
        <v>0.212932155860455</v>
      </c>
      <c r="AA196" s="86">
        <f>5*I196*L196</f>
        <v>17000</v>
      </c>
      <c r="AB196" s="90">
        <f>AA196/M196</f>
        <v>5.5561729081009002E-2</v>
      </c>
      <c r="AC196" s="86">
        <f t="shared" si="120"/>
        <v>12238.64</v>
      </c>
      <c r="AD196" s="91">
        <f t="shared" si="122"/>
        <v>0.04</v>
      </c>
      <c r="AE196" s="86">
        <v>0</v>
      </c>
      <c r="AF196" s="91">
        <v>0</v>
      </c>
      <c r="AG196" s="86">
        <f t="shared" si="113"/>
        <v>39552.32</v>
      </c>
      <c r="AH196" s="88">
        <f t="shared" si="114"/>
        <v>0.129270311080316</v>
      </c>
    </row>
    <row r="197" spans="1:39" s="2" customFormat="1" ht="21" hidden="1" customHeight="1">
      <c r="A197" s="92" t="s">
        <v>32</v>
      </c>
      <c r="B197" s="83" t="s">
        <v>84</v>
      </c>
      <c r="C197" s="84">
        <v>11</v>
      </c>
      <c r="D197" s="93" t="s">
        <v>97</v>
      </c>
      <c r="E197" s="93" t="s">
        <v>75</v>
      </c>
      <c r="F197" s="93" t="s">
        <v>79</v>
      </c>
      <c r="G197" s="93"/>
      <c r="H197" s="93" t="s">
        <v>43</v>
      </c>
      <c r="I197" s="85">
        <v>500</v>
      </c>
      <c r="J197" s="86">
        <v>139.99</v>
      </c>
      <c r="K197" s="86">
        <f t="shared" si="106"/>
        <v>951.93200000000002</v>
      </c>
      <c r="L197" s="87">
        <v>6.8</v>
      </c>
      <c r="M197" s="86">
        <f t="shared" si="109"/>
        <v>475966</v>
      </c>
      <c r="N197" s="88">
        <v>0.14000000000000001</v>
      </c>
      <c r="O197" s="89">
        <v>19.2</v>
      </c>
      <c r="P197" s="86">
        <f t="shared" si="115"/>
        <v>203310.14</v>
      </c>
      <c r="Q197" s="90">
        <f t="shared" si="116"/>
        <v>0.42715265376098299</v>
      </c>
      <c r="R197" s="86">
        <f t="shared" si="110"/>
        <v>47596.6</v>
      </c>
      <c r="S197" s="90">
        <v>0.1</v>
      </c>
      <c r="T197" s="86">
        <f t="shared" si="111"/>
        <v>225059.26</v>
      </c>
      <c r="U197" s="90">
        <f t="shared" si="117"/>
        <v>0.47284734623901697</v>
      </c>
      <c r="V197" s="89">
        <f t="shared" si="112"/>
        <v>9519.32</v>
      </c>
      <c r="W197" s="90">
        <v>0.02</v>
      </c>
      <c r="X197" s="89">
        <v>180</v>
      </c>
      <c r="Y197" s="86">
        <f t="shared" si="100"/>
        <v>90000</v>
      </c>
      <c r="Z197" s="90">
        <f t="shared" si="123"/>
        <v>0.18908913661900201</v>
      </c>
      <c r="AA197" s="86">
        <f>6.5*I197*L197</f>
        <v>22100</v>
      </c>
      <c r="AB197" s="90">
        <f>AA197/M197</f>
        <v>4.6431887991999397E-2</v>
      </c>
      <c r="AC197" s="86">
        <f t="shared" si="120"/>
        <v>19038.64</v>
      </c>
      <c r="AD197" s="91">
        <f t="shared" si="122"/>
        <v>0.04</v>
      </c>
      <c r="AE197" s="86">
        <v>0</v>
      </c>
      <c r="AF197" s="91">
        <f>AE197/M197</f>
        <v>0</v>
      </c>
      <c r="AG197" s="86">
        <f t="shared" si="113"/>
        <v>84401.3</v>
      </c>
      <c r="AH197" s="88">
        <f t="shared" si="114"/>
        <v>0.17732632162801501</v>
      </c>
    </row>
    <row r="198" spans="1:39" s="2" customFormat="1" ht="21" hidden="1" customHeight="1">
      <c r="A198" s="92" t="s">
        <v>32</v>
      </c>
      <c r="B198" s="83" t="s">
        <v>84</v>
      </c>
      <c r="C198" s="84">
        <v>11</v>
      </c>
      <c r="D198" s="93" t="s">
        <v>98</v>
      </c>
      <c r="E198" s="93" t="s">
        <v>75</v>
      </c>
      <c r="F198" s="93" t="s">
        <v>79</v>
      </c>
      <c r="G198" s="93"/>
      <c r="H198" s="93" t="s">
        <v>43</v>
      </c>
      <c r="I198" s="85">
        <v>250</v>
      </c>
      <c r="J198" s="86">
        <v>149.99</v>
      </c>
      <c r="K198" s="86">
        <f t="shared" si="106"/>
        <v>1019.932</v>
      </c>
      <c r="L198" s="87">
        <v>6.8</v>
      </c>
      <c r="M198" s="86">
        <f t="shared" si="109"/>
        <v>254983</v>
      </c>
      <c r="N198" s="88">
        <v>0.14000000000000001</v>
      </c>
      <c r="O198" s="89">
        <v>19.2</v>
      </c>
      <c r="P198" s="86">
        <f t="shared" si="115"/>
        <v>106585.07</v>
      </c>
      <c r="Q198" s="90">
        <f t="shared" si="116"/>
        <v>0.41800853390226</v>
      </c>
      <c r="R198" s="86">
        <f t="shared" si="110"/>
        <v>30597.96</v>
      </c>
      <c r="S198" s="90">
        <v>0.12</v>
      </c>
      <c r="T198" s="86">
        <f t="shared" si="111"/>
        <v>117799.97</v>
      </c>
      <c r="U198" s="90">
        <f t="shared" si="117"/>
        <v>0.46199146609774</v>
      </c>
      <c r="V198" s="89">
        <f t="shared" si="112"/>
        <v>5099.66</v>
      </c>
      <c r="W198" s="90">
        <v>0.02</v>
      </c>
      <c r="X198" s="89">
        <v>190</v>
      </c>
      <c r="Y198" s="86">
        <f t="shared" si="100"/>
        <v>47500</v>
      </c>
      <c r="Z198" s="90">
        <f t="shared" si="123"/>
        <v>0.186286928932517</v>
      </c>
      <c r="AA198" s="86">
        <f>7.5*I198*L198</f>
        <v>12750</v>
      </c>
      <c r="AB198" s="90">
        <f>AA198/M198</f>
        <v>5.0003333555570399E-2</v>
      </c>
      <c r="AC198" s="86">
        <f t="shared" si="120"/>
        <v>10199.32</v>
      </c>
      <c r="AD198" s="91">
        <f t="shared" si="122"/>
        <v>0.04</v>
      </c>
      <c r="AE198" s="86">
        <v>0</v>
      </c>
      <c r="AF198" s="91">
        <v>0</v>
      </c>
      <c r="AG198" s="86">
        <f t="shared" si="113"/>
        <v>42250.99</v>
      </c>
      <c r="AH198" s="88">
        <f t="shared" si="114"/>
        <v>0.16570120360965199</v>
      </c>
    </row>
    <row r="199" spans="1:39" s="1" customFormat="1" ht="21" hidden="1" customHeight="1">
      <c r="A199" s="83" t="s">
        <v>32</v>
      </c>
      <c r="B199" s="84" t="s">
        <v>77</v>
      </c>
      <c r="C199" s="84">
        <v>11</v>
      </c>
      <c r="D199" s="83" t="s">
        <v>80</v>
      </c>
      <c r="E199" s="83" t="s">
        <v>75</v>
      </c>
      <c r="F199" s="83" t="s">
        <v>79</v>
      </c>
      <c r="G199" s="83"/>
      <c r="H199" s="83" t="s">
        <v>37</v>
      </c>
      <c r="I199" s="85">
        <v>750</v>
      </c>
      <c r="J199" s="86">
        <v>69.989999999999995</v>
      </c>
      <c r="K199" s="86">
        <f t="shared" si="106"/>
        <v>475.93200000000002</v>
      </c>
      <c r="L199" s="87">
        <v>6.8</v>
      </c>
      <c r="M199" s="86">
        <f t="shared" si="109"/>
        <v>356949</v>
      </c>
      <c r="N199" s="88">
        <v>0.14000000000000001</v>
      </c>
      <c r="O199" s="89">
        <v>8.6</v>
      </c>
      <c r="P199" s="86">
        <f t="shared" si="115"/>
        <v>147375.21</v>
      </c>
      <c r="Q199" s="90">
        <f t="shared" si="116"/>
        <v>0.41287469638519803</v>
      </c>
      <c r="R199" s="86">
        <f t="shared" si="110"/>
        <v>53542.35</v>
      </c>
      <c r="S199" s="90">
        <v>0.15</v>
      </c>
      <c r="T199" s="86">
        <f t="shared" si="111"/>
        <v>156031.44</v>
      </c>
      <c r="U199" s="90">
        <f t="shared" si="117"/>
        <v>0.43712530361480201</v>
      </c>
      <c r="V199" s="86">
        <f t="shared" si="112"/>
        <v>10708.47</v>
      </c>
      <c r="W199" s="90">
        <v>0.03</v>
      </c>
      <c r="X199" s="89">
        <v>145</v>
      </c>
      <c r="Y199" s="86">
        <f t="shared" si="100"/>
        <v>108750</v>
      </c>
      <c r="Z199" s="90">
        <f t="shared" si="123"/>
        <v>0.304665372364119</v>
      </c>
      <c r="AA199" s="86">
        <f>M199*AB199</f>
        <v>14277.96</v>
      </c>
      <c r="AB199" s="90">
        <v>0.04</v>
      </c>
      <c r="AC199" s="86">
        <f>M199*0.02</f>
        <v>7138.98</v>
      </c>
      <c r="AD199" s="91">
        <v>0.02</v>
      </c>
      <c r="AE199" s="86">
        <v>0</v>
      </c>
      <c r="AF199" s="91">
        <v>0</v>
      </c>
      <c r="AG199" s="86">
        <f t="shared" si="113"/>
        <v>15156.03</v>
      </c>
      <c r="AH199" s="88">
        <f t="shared" si="114"/>
        <v>4.2459931250682897E-2</v>
      </c>
    </row>
    <row r="200" spans="1:39" s="2" customFormat="1" ht="21" hidden="1" customHeight="1">
      <c r="A200" s="83" t="s">
        <v>32</v>
      </c>
      <c r="B200" s="84" t="s">
        <v>81</v>
      </c>
      <c r="C200" s="84">
        <v>11</v>
      </c>
      <c r="D200" s="83" t="s">
        <v>83</v>
      </c>
      <c r="E200" s="83" t="s">
        <v>75</v>
      </c>
      <c r="F200" s="83" t="s">
        <v>79</v>
      </c>
      <c r="G200" s="83"/>
      <c r="H200" s="83" t="s">
        <v>43</v>
      </c>
      <c r="I200" s="85">
        <v>400</v>
      </c>
      <c r="J200" s="86">
        <v>129.99</v>
      </c>
      <c r="K200" s="86">
        <f t="shared" si="106"/>
        <v>883.93200000000002</v>
      </c>
      <c r="L200" s="87">
        <v>6.8</v>
      </c>
      <c r="M200" s="86">
        <f t="shared" si="109"/>
        <v>353572.8</v>
      </c>
      <c r="N200" s="88">
        <v>0.14000000000000001</v>
      </c>
      <c r="O200" s="89">
        <v>16.72</v>
      </c>
      <c r="P200" s="86">
        <f t="shared" si="115"/>
        <v>148014.51199999999</v>
      </c>
      <c r="Q200" s="90">
        <f t="shared" si="116"/>
        <v>0.41862527886760498</v>
      </c>
      <c r="R200" s="86">
        <f t="shared" si="110"/>
        <v>53035.92</v>
      </c>
      <c r="S200" s="90">
        <v>0.15</v>
      </c>
      <c r="T200" s="86">
        <f t="shared" si="111"/>
        <v>152522.36799999999</v>
      </c>
      <c r="U200" s="90">
        <f t="shared" si="117"/>
        <v>0.431374721132395</v>
      </c>
      <c r="V200" s="86">
        <f t="shared" si="112"/>
        <v>10607.183999999999</v>
      </c>
      <c r="W200" s="90">
        <v>0.03</v>
      </c>
      <c r="X200" s="89">
        <v>200</v>
      </c>
      <c r="Y200" s="86">
        <f t="shared" si="100"/>
        <v>80000</v>
      </c>
      <c r="Z200" s="90">
        <f t="shared" si="123"/>
        <v>0.226261748641298</v>
      </c>
      <c r="AA200" s="86">
        <f>6.2*I200*L200</f>
        <v>16864</v>
      </c>
      <c r="AB200" s="90">
        <f>AA200/M200</f>
        <v>4.7695976613585697E-2</v>
      </c>
      <c r="AC200" s="86">
        <f>M200*0.03</f>
        <v>10607.183999999999</v>
      </c>
      <c r="AD200" s="91">
        <v>0.03</v>
      </c>
      <c r="AE200" s="86">
        <v>0</v>
      </c>
      <c r="AF200" s="91">
        <v>0</v>
      </c>
      <c r="AG200" s="86">
        <f t="shared" si="113"/>
        <v>34444</v>
      </c>
      <c r="AH200" s="88">
        <f t="shared" si="114"/>
        <v>9.7416995877511001E-2</v>
      </c>
    </row>
    <row r="201" spans="1:39" s="2" customFormat="1" ht="21" hidden="1" customHeight="1">
      <c r="A201" s="83" t="s">
        <v>32</v>
      </c>
      <c r="B201" s="84" t="s">
        <v>81</v>
      </c>
      <c r="C201" s="84">
        <v>11</v>
      </c>
      <c r="D201" s="83" t="s">
        <v>92</v>
      </c>
      <c r="E201" s="83" t="s">
        <v>75</v>
      </c>
      <c r="F201" s="83" t="s">
        <v>79</v>
      </c>
      <c r="G201" s="83"/>
      <c r="H201" s="83" t="s">
        <v>43</v>
      </c>
      <c r="I201" s="85">
        <v>180</v>
      </c>
      <c r="J201" s="86">
        <v>144.99</v>
      </c>
      <c r="K201" s="86">
        <f t="shared" si="106"/>
        <v>985.93200000000002</v>
      </c>
      <c r="L201" s="87">
        <v>6.8</v>
      </c>
      <c r="M201" s="86">
        <f t="shared" si="109"/>
        <v>177467.76</v>
      </c>
      <c r="N201" s="88">
        <v>0.14000000000000001</v>
      </c>
      <c r="O201" s="89">
        <v>16.72</v>
      </c>
      <c r="P201" s="86">
        <f t="shared" si="115"/>
        <v>71930.930399999997</v>
      </c>
      <c r="Q201" s="90">
        <f t="shared" si="116"/>
        <v>0.40531829781364198</v>
      </c>
      <c r="R201" s="86">
        <f t="shared" si="110"/>
        <v>26620.164000000001</v>
      </c>
      <c r="S201" s="90">
        <v>0.15</v>
      </c>
      <c r="T201" s="86">
        <f t="shared" si="111"/>
        <v>78916.665599999993</v>
      </c>
      <c r="U201" s="90">
        <f t="shared" si="117"/>
        <v>0.444681702186358</v>
      </c>
      <c r="V201" s="86">
        <f t="shared" si="112"/>
        <v>5324.0328</v>
      </c>
      <c r="W201" s="90">
        <v>0.03</v>
      </c>
      <c r="X201" s="89">
        <v>225</v>
      </c>
      <c r="Y201" s="86">
        <f t="shared" si="100"/>
        <v>40500</v>
      </c>
      <c r="Z201" s="90">
        <f t="shared" si="123"/>
        <v>0.228210464819075</v>
      </c>
      <c r="AA201" s="86">
        <f>6.2*I201*L201</f>
        <v>7588.8</v>
      </c>
      <c r="AB201" s="90">
        <f>AA201/M201</f>
        <v>4.2761569763431997E-2</v>
      </c>
      <c r="AC201" s="86">
        <f>M201*0.03</f>
        <v>5324.0328</v>
      </c>
      <c r="AD201" s="91">
        <v>0.03</v>
      </c>
      <c r="AE201" s="86">
        <v>0</v>
      </c>
      <c r="AF201" s="91">
        <v>0</v>
      </c>
      <c r="AG201" s="86">
        <f t="shared" si="113"/>
        <v>20179.8</v>
      </c>
      <c r="AH201" s="88">
        <f t="shared" si="114"/>
        <v>0.113709667603851</v>
      </c>
    </row>
    <row r="202" spans="1:39" s="1" customFormat="1" ht="21" hidden="1" customHeight="1">
      <c r="A202" s="92" t="s">
        <v>32</v>
      </c>
      <c r="B202" s="92" t="s">
        <v>84</v>
      </c>
      <c r="C202" s="84">
        <v>11</v>
      </c>
      <c r="D202" s="93" t="s">
        <v>85</v>
      </c>
      <c r="E202" s="93" t="s">
        <v>75</v>
      </c>
      <c r="F202" s="93" t="s">
        <v>36</v>
      </c>
      <c r="G202" s="93"/>
      <c r="H202" s="93" t="s">
        <v>70</v>
      </c>
      <c r="I202" s="85">
        <v>100</v>
      </c>
      <c r="J202" s="86">
        <v>33.99</v>
      </c>
      <c r="K202" s="86">
        <v>251.93</v>
      </c>
      <c r="L202" s="87">
        <v>6.8</v>
      </c>
      <c r="M202" s="86">
        <f t="shared" si="109"/>
        <v>25193</v>
      </c>
      <c r="N202" s="88">
        <v>0.04</v>
      </c>
      <c r="O202" s="89">
        <v>11.47</v>
      </c>
      <c r="P202" s="86">
        <f t="shared" si="115"/>
        <v>12274.3</v>
      </c>
      <c r="Q202" s="90">
        <v>0.32528440439804701</v>
      </c>
      <c r="R202" s="86">
        <f t="shared" si="110"/>
        <v>3778.95</v>
      </c>
      <c r="S202" s="90">
        <v>0.15</v>
      </c>
      <c r="T202" s="86">
        <f t="shared" si="111"/>
        <v>9139.75</v>
      </c>
      <c r="U202" s="90">
        <f t="shared" si="117"/>
        <v>0.36278926685984197</v>
      </c>
      <c r="V202" s="86">
        <f t="shared" si="112"/>
        <v>755.79</v>
      </c>
      <c r="W202" s="90">
        <v>0.03</v>
      </c>
      <c r="X202" s="89">
        <v>45.7</v>
      </c>
      <c r="Y202" s="86">
        <f t="shared" si="100"/>
        <v>4570</v>
      </c>
      <c r="Z202" s="90">
        <v>0.26</v>
      </c>
      <c r="AA202" s="86">
        <f>0.4*I202*L202</f>
        <v>272</v>
      </c>
      <c r="AB202" s="90">
        <f>AA202/M202</f>
        <v>1.0796649863057201E-2</v>
      </c>
      <c r="AC202" s="86">
        <f>M202*0.03</f>
        <v>755.79</v>
      </c>
      <c r="AD202" s="91">
        <v>0.03</v>
      </c>
      <c r="AE202" s="86">
        <v>0</v>
      </c>
      <c r="AF202" s="91">
        <v>0</v>
      </c>
      <c r="AG202" s="86">
        <f t="shared" si="113"/>
        <v>2786.17</v>
      </c>
      <c r="AH202" s="88">
        <f t="shared" si="114"/>
        <v>0.110593021871155</v>
      </c>
      <c r="AI202" s="13"/>
      <c r="AJ202" s="13"/>
      <c r="AK202" s="13"/>
      <c r="AL202" s="13"/>
      <c r="AM202" s="13"/>
    </row>
    <row r="203" spans="1:39" s="1" customFormat="1" ht="21" hidden="1" customHeight="1">
      <c r="A203" s="92" t="s">
        <v>32</v>
      </c>
      <c r="B203" s="92" t="s">
        <v>84</v>
      </c>
      <c r="C203" s="84">
        <v>11</v>
      </c>
      <c r="D203" s="93" t="s">
        <v>86</v>
      </c>
      <c r="E203" s="93" t="s">
        <v>75</v>
      </c>
      <c r="F203" s="93" t="s">
        <v>36</v>
      </c>
      <c r="G203" s="93"/>
      <c r="H203" s="93" t="s">
        <v>70</v>
      </c>
      <c r="I203" s="85">
        <v>50</v>
      </c>
      <c r="J203" s="86">
        <v>37.99</v>
      </c>
      <c r="K203" s="86">
        <v>251.93</v>
      </c>
      <c r="L203" s="87">
        <v>6.8</v>
      </c>
      <c r="M203" s="86">
        <f t="shared" si="109"/>
        <v>12596.5</v>
      </c>
      <c r="N203" s="88">
        <v>0.04</v>
      </c>
      <c r="O203" s="89">
        <v>11.47</v>
      </c>
      <c r="P203" s="86">
        <f t="shared" si="115"/>
        <v>6341.15</v>
      </c>
      <c r="Q203" s="90">
        <v>0.32528440439804701</v>
      </c>
      <c r="R203" s="86">
        <f t="shared" si="110"/>
        <v>1889.4749999999999</v>
      </c>
      <c r="S203" s="90">
        <v>0.15</v>
      </c>
      <c r="T203" s="86">
        <f t="shared" si="111"/>
        <v>4365.875</v>
      </c>
      <c r="U203" s="90">
        <f t="shared" si="117"/>
        <v>0.34659429206525599</v>
      </c>
      <c r="V203" s="86">
        <f t="shared" si="112"/>
        <v>377.89499999999998</v>
      </c>
      <c r="W203" s="90">
        <v>0.03</v>
      </c>
      <c r="X203" s="89">
        <v>56.9</v>
      </c>
      <c r="Y203" s="86">
        <f t="shared" si="100"/>
        <v>2845</v>
      </c>
      <c r="Z203" s="90">
        <v>0.26</v>
      </c>
      <c r="AA203" s="86">
        <f>0.6*I203*L203</f>
        <v>204</v>
      </c>
      <c r="AB203" s="90">
        <f>AA203/M203</f>
        <v>1.6194974794585801E-2</v>
      </c>
      <c r="AC203" s="86">
        <f>M203*0.03</f>
        <v>377.89499999999998</v>
      </c>
      <c r="AD203" s="91">
        <v>0.03</v>
      </c>
      <c r="AE203" s="86">
        <v>0</v>
      </c>
      <c r="AF203" s="91">
        <v>0</v>
      </c>
      <c r="AG203" s="86">
        <f t="shared" si="113"/>
        <v>561.08500000000004</v>
      </c>
      <c r="AH203" s="88">
        <f t="shared" si="114"/>
        <v>4.4542928591275399E-2</v>
      </c>
      <c r="AI203" s="13"/>
      <c r="AJ203" s="13"/>
      <c r="AK203" s="13"/>
      <c r="AL203" s="13"/>
      <c r="AM203" s="13"/>
    </row>
    <row r="204" spans="1:39" s="1" customFormat="1" ht="21" hidden="1" customHeight="1">
      <c r="A204" s="29" t="s">
        <v>56</v>
      </c>
      <c r="B204" s="80" t="s">
        <v>57</v>
      </c>
      <c r="C204" s="31">
        <v>11</v>
      </c>
      <c r="D204" s="31" t="s">
        <v>58</v>
      </c>
      <c r="E204" s="31" t="s">
        <v>35</v>
      </c>
      <c r="F204" s="31" t="s">
        <v>36</v>
      </c>
      <c r="G204" s="31"/>
      <c r="H204" s="31" t="s">
        <v>43</v>
      </c>
      <c r="I204" s="33">
        <v>800</v>
      </c>
      <c r="J204" s="34">
        <v>89.99</v>
      </c>
      <c r="K204" s="34">
        <f t="shared" ref="K204:K234" si="124">J204*L204</f>
        <v>719.92</v>
      </c>
      <c r="L204" s="19">
        <v>8</v>
      </c>
      <c r="M204" s="34">
        <f t="shared" si="109"/>
        <v>575936</v>
      </c>
      <c r="N204" s="35">
        <v>0.08</v>
      </c>
      <c r="O204" s="36">
        <v>5.87</v>
      </c>
      <c r="P204" s="34">
        <f t="shared" si="115"/>
        <v>170033.28</v>
      </c>
      <c r="Q204" s="37">
        <f>P204/M204</f>
        <v>0.29522946994110499</v>
      </c>
      <c r="R204" s="34">
        <f t="shared" si="110"/>
        <v>46074.879999999997</v>
      </c>
      <c r="S204" s="37">
        <v>0.08</v>
      </c>
      <c r="T204" s="18">
        <f t="shared" si="111"/>
        <v>359827.84</v>
      </c>
      <c r="U204" s="22">
        <f t="shared" si="117"/>
        <v>0.62477053005889505</v>
      </c>
      <c r="V204" s="34">
        <f t="shared" si="112"/>
        <v>0</v>
      </c>
      <c r="W204" s="37">
        <v>0</v>
      </c>
      <c r="X204" s="36">
        <v>171.5</v>
      </c>
      <c r="Y204" s="34">
        <f t="shared" si="100"/>
        <v>137200</v>
      </c>
      <c r="Z204" s="37">
        <f>Y204/M204</f>
        <v>0.23822091343482599</v>
      </c>
      <c r="AA204" s="34">
        <f>M204*AB204</f>
        <v>28796.799999999999</v>
      </c>
      <c r="AB204" s="37">
        <v>0.05</v>
      </c>
      <c r="AC204" s="18">
        <f>M204*AD204</f>
        <v>17278.080000000002</v>
      </c>
      <c r="AD204" s="38">
        <v>0.03</v>
      </c>
      <c r="AE204" s="34">
        <f>J204/1.19*0.19*I204*L204</f>
        <v>91956.168067226899</v>
      </c>
      <c r="AF204" s="38">
        <f>AE204/M204</f>
        <v>0.159663865546219</v>
      </c>
      <c r="AG204" s="34">
        <f t="shared" si="113"/>
        <v>84596.791932773107</v>
      </c>
      <c r="AH204" s="35">
        <f t="shared" si="114"/>
        <v>0.14688575107785101</v>
      </c>
      <c r="AI204" s="13"/>
      <c r="AJ204" s="13"/>
      <c r="AK204" s="13"/>
      <c r="AL204" s="13"/>
      <c r="AM204" s="13"/>
    </row>
    <row r="205" spans="1:39" s="1" customFormat="1" ht="21" hidden="1" customHeight="1">
      <c r="A205" s="29" t="s">
        <v>56</v>
      </c>
      <c r="B205" s="80" t="s">
        <v>57</v>
      </c>
      <c r="C205" s="31">
        <v>11</v>
      </c>
      <c r="D205" s="31" t="s">
        <v>71</v>
      </c>
      <c r="E205" s="31" t="s">
        <v>35</v>
      </c>
      <c r="F205" s="31" t="s">
        <v>36</v>
      </c>
      <c r="G205" s="31"/>
      <c r="H205" s="31" t="s">
        <v>43</v>
      </c>
      <c r="I205" s="33">
        <v>800</v>
      </c>
      <c r="J205" s="34">
        <v>79.989999999999995</v>
      </c>
      <c r="K205" s="34">
        <f t="shared" si="124"/>
        <v>639.91999999999996</v>
      </c>
      <c r="L205" s="19">
        <v>8</v>
      </c>
      <c r="M205" s="34">
        <f t="shared" si="109"/>
        <v>511936</v>
      </c>
      <c r="N205" s="35">
        <v>0.15</v>
      </c>
      <c r="O205" s="36">
        <v>8.6</v>
      </c>
      <c r="P205" s="34">
        <f t="shared" si="115"/>
        <v>208620.79999999999</v>
      </c>
      <c r="Q205" s="37">
        <f>P205/M205</f>
        <v>0.40751343917989802</v>
      </c>
      <c r="R205" s="34">
        <f t="shared" si="110"/>
        <v>40954.879999999997</v>
      </c>
      <c r="S205" s="37">
        <v>0.08</v>
      </c>
      <c r="T205" s="18">
        <f t="shared" si="111"/>
        <v>262360.32000000001</v>
      </c>
      <c r="U205" s="22">
        <f t="shared" si="117"/>
        <v>0.51248656082010302</v>
      </c>
      <c r="V205" s="34">
        <f t="shared" si="112"/>
        <v>0</v>
      </c>
      <c r="W205" s="37">
        <v>0</v>
      </c>
      <c r="X205" s="36">
        <v>142</v>
      </c>
      <c r="Y205" s="34">
        <f t="shared" si="100"/>
        <v>113600</v>
      </c>
      <c r="Z205" s="37">
        <f>Y205/M205</f>
        <v>0.22190273784223</v>
      </c>
      <c r="AA205" s="34">
        <f>M205*AB205</f>
        <v>25596.799999999999</v>
      </c>
      <c r="AB205" s="37">
        <v>0.05</v>
      </c>
      <c r="AC205" s="18">
        <f t="shared" ref="AC205:AC214" si="125">M205*0.04</f>
        <v>20477.439999999999</v>
      </c>
      <c r="AD205" s="38">
        <v>0.03</v>
      </c>
      <c r="AE205" s="34">
        <f>J205/1.19*0.19*I205*L205</f>
        <v>81737.680672268907</v>
      </c>
      <c r="AF205" s="38">
        <f>AE205/M205</f>
        <v>0.159663865546219</v>
      </c>
      <c r="AG205" s="34">
        <f t="shared" si="113"/>
        <v>20948.399327731098</v>
      </c>
      <c r="AH205" s="35">
        <f t="shared" si="114"/>
        <v>4.0919957431653803E-2</v>
      </c>
      <c r="AI205" s="13"/>
      <c r="AJ205" s="13"/>
      <c r="AK205" s="13"/>
      <c r="AL205" s="13"/>
      <c r="AM205" s="13"/>
    </row>
    <row r="206" spans="1:39" s="2" customFormat="1" ht="21" hidden="1" customHeight="1">
      <c r="A206" s="29" t="s">
        <v>56</v>
      </c>
      <c r="B206" s="80" t="s">
        <v>64</v>
      </c>
      <c r="C206" s="31">
        <v>11</v>
      </c>
      <c r="D206" s="31" t="s">
        <v>66</v>
      </c>
      <c r="E206" s="31" t="s">
        <v>35</v>
      </c>
      <c r="F206" s="31" t="s">
        <v>36</v>
      </c>
      <c r="G206" s="31"/>
      <c r="H206" s="31" t="s">
        <v>43</v>
      </c>
      <c r="I206" s="33">
        <v>800</v>
      </c>
      <c r="J206" s="34">
        <v>99.99</v>
      </c>
      <c r="K206" s="34">
        <f t="shared" si="124"/>
        <v>919.90800000000002</v>
      </c>
      <c r="L206" s="19">
        <v>9.1999999999999993</v>
      </c>
      <c r="M206" s="34">
        <f t="shared" si="109"/>
        <v>735926.4</v>
      </c>
      <c r="N206" s="35">
        <v>0.2</v>
      </c>
      <c r="O206" s="36">
        <v>6.45</v>
      </c>
      <c r="P206" s="34">
        <f t="shared" si="115"/>
        <v>305046.24</v>
      </c>
      <c r="Q206" s="37">
        <f>P206/M206</f>
        <v>0.41450645064506397</v>
      </c>
      <c r="R206" s="34">
        <f t="shared" si="110"/>
        <v>58874.112000000001</v>
      </c>
      <c r="S206" s="37">
        <v>0.08</v>
      </c>
      <c r="T206" s="18">
        <f t="shared" si="111"/>
        <v>372006.04800000001</v>
      </c>
      <c r="U206" s="22">
        <f t="shared" si="117"/>
        <v>0.50549354935493596</v>
      </c>
      <c r="V206" s="34">
        <f t="shared" si="112"/>
        <v>0</v>
      </c>
      <c r="W206" s="37">
        <v>0</v>
      </c>
      <c r="X206" s="36">
        <v>170.5</v>
      </c>
      <c r="Y206" s="34">
        <f t="shared" si="100"/>
        <v>136400</v>
      </c>
      <c r="Z206" s="37">
        <f>Y206/M206</f>
        <v>0.18534462141866401</v>
      </c>
      <c r="AA206" s="34">
        <f>10.13*I206*L206</f>
        <v>74556.800000000003</v>
      </c>
      <c r="AB206" s="37">
        <v>0.05</v>
      </c>
      <c r="AC206" s="18">
        <f t="shared" si="125"/>
        <v>29437.056</v>
      </c>
      <c r="AD206" s="38">
        <v>0.03</v>
      </c>
      <c r="AE206" s="34">
        <f>(J206*(20%/(1+20%)))*I206*L206</f>
        <v>122654.39999999999</v>
      </c>
      <c r="AF206" s="38">
        <f>AE206/M206</f>
        <v>0.16666666666666699</v>
      </c>
      <c r="AG206" s="34">
        <f t="shared" si="113"/>
        <v>8957.7920000000195</v>
      </c>
      <c r="AH206" s="35">
        <f t="shared" si="114"/>
        <v>1.2172130256503899E-2</v>
      </c>
    </row>
    <row r="207" spans="1:39" s="2" customFormat="1" ht="21" hidden="1" customHeight="1">
      <c r="A207" s="29" t="s">
        <v>56</v>
      </c>
      <c r="B207" s="80" t="s">
        <v>72</v>
      </c>
      <c r="C207" s="31">
        <v>11</v>
      </c>
      <c r="D207" s="31" t="s">
        <v>73</v>
      </c>
      <c r="E207" s="31" t="s">
        <v>35</v>
      </c>
      <c r="F207" s="31" t="s">
        <v>36</v>
      </c>
      <c r="G207" s="31"/>
      <c r="H207" s="31" t="s">
        <v>43</v>
      </c>
      <c r="I207" s="33">
        <v>800</v>
      </c>
      <c r="J207" s="34">
        <v>59.99</v>
      </c>
      <c r="K207" s="34">
        <f t="shared" si="124"/>
        <v>551.90800000000002</v>
      </c>
      <c r="L207" s="19">
        <v>9.1999999999999993</v>
      </c>
      <c r="M207" s="34">
        <f t="shared" si="109"/>
        <v>441526.4</v>
      </c>
      <c r="N207" s="35">
        <v>7.0000000000000007E-2</v>
      </c>
      <c r="O207" s="36">
        <v>6.11</v>
      </c>
      <c r="P207" s="34">
        <f>(J207*0.15*I207+O207*I207)*L207+J207*I207*N207</f>
        <v>114558</v>
      </c>
      <c r="Q207" s="37">
        <f>P207/M207</f>
        <v>0.25945900403690503</v>
      </c>
      <c r="R207" s="34">
        <f t="shared" si="110"/>
        <v>35322.112000000001</v>
      </c>
      <c r="S207" s="37">
        <v>0.08</v>
      </c>
      <c r="T207" s="18">
        <f t="shared" si="111"/>
        <v>291646.288</v>
      </c>
      <c r="U207" s="22">
        <f t="shared" si="117"/>
        <v>0.66054099596309501</v>
      </c>
      <c r="V207" s="34">
        <f t="shared" si="112"/>
        <v>0</v>
      </c>
      <c r="W207" s="37">
        <v>0</v>
      </c>
      <c r="X207" s="36">
        <v>142</v>
      </c>
      <c r="Y207" s="34">
        <f t="shared" si="100"/>
        <v>113600</v>
      </c>
      <c r="Z207" s="37">
        <f>Y207/M207</f>
        <v>0.25728925835465299</v>
      </c>
      <c r="AA207" s="34">
        <f t="shared" ref="AA207:AA215" si="126">M207*AB207</f>
        <v>22076.32</v>
      </c>
      <c r="AB207" s="37">
        <v>0.05</v>
      </c>
      <c r="AC207" s="18">
        <f t="shared" si="125"/>
        <v>17661.056</v>
      </c>
      <c r="AD207" s="38">
        <v>0.03</v>
      </c>
      <c r="AE207" s="34">
        <f>(M207-M207*0.2)*0.2</f>
        <v>70644.224000000002</v>
      </c>
      <c r="AF207" s="38">
        <f>AE207/M207</f>
        <v>0.16</v>
      </c>
      <c r="AG207" s="34">
        <f t="shared" si="113"/>
        <v>67664.687999999995</v>
      </c>
      <c r="AH207" s="35">
        <f t="shared" si="114"/>
        <v>0.15325173760844199</v>
      </c>
    </row>
    <row r="208" spans="1:39" s="2" customFormat="1" ht="21" hidden="1" customHeight="1">
      <c r="A208" s="29" t="s">
        <v>56</v>
      </c>
      <c r="B208" s="80" t="s">
        <v>72</v>
      </c>
      <c r="C208" s="31">
        <v>11</v>
      </c>
      <c r="D208" s="31" t="s">
        <v>93</v>
      </c>
      <c r="E208" s="31" t="s">
        <v>75</v>
      </c>
      <c r="F208" s="31" t="s">
        <v>79</v>
      </c>
      <c r="G208" s="31"/>
      <c r="H208" s="31" t="s">
        <v>43</v>
      </c>
      <c r="I208" s="33">
        <v>700</v>
      </c>
      <c r="J208" s="34">
        <v>299.99</v>
      </c>
      <c r="K208" s="34">
        <f t="shared" si="124"/>
        <v>2039.932</v>
      </c>
      <c r="L208" s="19">
        <v>6.8</v>
      </c>
      <c r="M208" s="34">
        <f t="shared" si="109"/>
        <v>1427952.4</v>
      </c>
      <c r="N208" s="35">
        <v>0.2</v>
      </c>
      <c r="O208" s="36">
        <v>22.92</v>
      </c>
      <c r="P208" s="34">
        <f>(J208*0.15*I208+O208*I208)*L208+J208*I208*N208</f>
        <v>365290.66</v>
      </c>
      <c r="Q208" s="37">
        <v>0.25538805399793502</v>
      </c>
      <c r="R208" s="34">
        <f t="shared" si="110"/>
        <v>214192.86</v>
      </c>
      <c r="S208" s="37">
        <v>0.15</v>
      </c>
      <c r="T208" s="18">
        <f t="shared" si="111"/>
        <v>848468.88</v>
      </c>
      <c r="U208" s="22">
        <v>0.59461194600206502</v>
      </c>
      <c r="V208" s="34">
        <f t="shared" si="112"/>
        <v>142795.24</v>
      </c>
      <c r="W208" s="37">
        <v>0.1</v>
      </c>
      <c r="X208" s="36">
        <v>605</v>
      </c>
      <c r="Y208" s="34">
        <f t="shared" si="100"/>
        <v>423500</v>
      </c>
      <c r="Z208" s="37">
        <v>0.29228027407676899</v>
      </c>
      <c r="AA208" s="34">
        <f t="shared" si="126"/>
        <v>85677.144</v>
      </c>
      <c r="AB208" s="37">
        <v>0.06</v>
      </c>
      <c r="AC208" s="18">
        <f t="shared" si="125"/>
        <v>57118.095999999998</v>
      </c>
      <c r="AD208" s="38">
        <v>0.03</v>
      </c>
      <c r="AE208" s="34">
        <v>0</v>
      </c>
      <c r="AF208" s="38">
        <v>0</v>
      </c>
      <c r="AG208" s="34">
        <f t="shared" si="113"/>
        <v>139378.4</v>
      </c>
      <c r="AH208" s="35">
        <f t="shared" si="114"/>
        <v>9.7607175141132194E-2</v>
      </c>
    </row>
    <row r="209" spans="1:39" s="2" customFormat="1" ht="21" hidden="1" customHeight="1">
      <c r="A209" s="29" t="s">
        <v>56</v>
      </c>
      <c r="B209" s="80" t="s">
        <v>72</v>
      </c>
      <c r="C209" s="31">
        <v>11</v>
      </c>
      <c r="D209" s="31" t="s">
        <v>95</v>
      </c>
      <c r="E209" s="31" t="s">
        <v>75</v>
      </c>
      <c r="F209" s="31" t="s">
        <v>79</v>
      </c>
      <c r="G209" s="31"/>
      <c r="H209" s="31" t="s">
        <v>43</v>
      </c>
      <c r="I209" s="33">
        <v>300</v>
      </c>
      <c r="J209" s="34">
        <v>199.99</v>
      </c>
      <c r="K209" s="34">
        <f t="shared" si="124"/>
        <v>1359.932</v>
      </c>
      <c r="L209" s="19">
        <v>6.8</v>
      </c>
      <c r="M209" s="34">
        <f t="shared" si="109"/>
        <v>407979.6</v>
      </c>
      <c r="N209" s="35">
        <v>0.2</v>
      </c>
      <c r="O209" s="36">
        <v>23.19</v>
      </c>
      <c r="P209" s="34">
        <f>(J209*0.15*I209+O209*I209)*L209+J209*I209*N209</f>
        <v>120503.94</v>
      </c>
      <c r="Q209" s="37">
        <v>0.29494130503626598</v>
      </c>
      <c r="R209" s="34">
        <f t="shared" si="110"/>
        <v>81595.92</v>
      </c>
      <c r="S209" s="37">
        <v>0.2</v>
      </c>
      <c r="T209" s="18">
        <f t="shared" si="111"/>
        <v>205879.74</v>
      </c>
      <c r="U209" s="22">
        <v>0.50505869496373401</v>
      </c>
      <c r="V209" s="34">
        <f t="shared" si="112"/>
        <v>20398.98</v>
      </c>
      <c r="W209" s="37">
        <v>0.05</v>
      </c>
      <c r="X209" s="36">
        <v>500</v>
      </c>
      <c r="Y209" s="34">
        <f t="shared" ref="Y209:Y248" si="127">X209*I209</f>
        <v>150000</v>
      </c>
      <c r="Z209" s="37">
        <v>0.217402174456549</v>
      </c>
      <c r="AA209" s="34">
        <f t="shared" si="126"/>
        <v>24478.776000000002</v>
      </c>
      <c r="AB209" s="37">
        <v>0.06</v>
      </c>
      <c r="AC209" s="18">
        <f t="shared" si="125"/>
        <v>16319.183999999999</v>
      </c>
      <c r="AD209" s="38">
        <v>0.03</v>
      </c>
      <c r="AE209" s="34">
        <v>0</v>
      </c>
      <c r="AF209" s="38">
        <v>0</v>
      </c>
      <c r="AG209" s="34">
        <f t="shared" si="113"/>
        <v>-5317.2000000000198</v>
      </c>
      <c r="AH209" s="35">
        <f t="shared" si="114"/>
        <v>-1.30330045914061E-2</v>
      </c>
    </row>
    <row r="210" spans="1:39" s="2" customFormat="1" ht="21" hidden="1" customHeight="1">
      <c r="A210" s="29" t="s">
        <v>56</v>
      </c>
      <c r="B210" s="80" t="s">
        <v>72</v>
      </c>
      <c r="C210" s="31">
        <v>11</v>
      </c>
      <c r="D210" s="31" t="s">
        <v>74</v>
      </c>
      <c r="E210" s="31" t="s">
        <v>75</v>
      </c>
      <c r="F210" s="31" t="s">
        <v>36</v>
      </c>
      <c r="G210" s="31"/>
      <c r="H210" s="31" t="s">
        <v>43</v>
      </c>
      <c r="I210" s="33">
        <v>1000</v>
      </c>
      <c r="J210" s="34">
        <v>299.99</v>
      </c>
      <c r="K210" s="34">
        <f t="shared" si="124"/>
        <v>2039.932</v>
      </c>
      <c r="L210" s="19">
        <v>6.8</v>
      </c>
      <c r="M210" s="34">
        <f t="shared" si="109"/>
        <v>2039932</v>
      </c>
      <c r="N210" s="35">
        <v>0.2</v>
      </c>
      <c r="O210" s="36">
        <v>22.92</v>
      </c>
      <c r="P210" s="34">
        <f>(J210*0.15*I210+O210*I210)*L210+J210*I210*N210</f>
        <v>521843.8</v>
      </c>
      <c r="Q210" s="37">
        <v>0.25538805399793502</v>
      </c>
      <c r="R210" s="34">
        <f t="shared" si="110"/>
        <v>305989.8</v>
      </c>
      <c r="S210" s="37">
        <v>0.15</v>
      </c>
      <c r="T210" s="18">
        <f t="shared" si="111"/>
        <v>1212098.3999999999</v>
      </c>
      <c r="U210" s="22">
        <v>0.59461194600206502</v>
      </c>
      <c r="V210" s="34">
        <f t="shared" si="112"/>
        <v>61197.96</v>
      </c>
      <c r="W210" s="37">
        <v>0.03</v>
      </c>
      <c r="X210" s="36">
        <v>605</v>
      </c>
      <c r="Y210" s="34">
        <f t="shared" si="127"/>
        <v>605000</v>
      </c>
      <c r="Z210" s="37">
        <v>0.29228027407676899</v>
      </c>
      <c r="AA210" s="34">
        <f t="shared" si="126"/>
        <v>122395.92</v>
      </c>
      <c r="AB210" s="37">
        <v>0.06</v>
      </c>
      <c r="AC210" s="18">
        <f t="shared" si="125"/>
        <v>81597.279999999999</v>
      </c>
      <c r="AD210" s="38">
        <v>0.03</v>
      </c>
      <c r="AE210" s="34">
        <v>0</v>
      </c>
      <c r="AF210" s="38">
        <v>0</v>
      </c>
      <c r="AG210" s="34">
        <f t="shared" si="113"/>
        <v>341907.24</v>
      </c>
      <c r="AH210" s="35">
        <f t="shared" si="114"/>
        <v>0.16760717514113199</v>
      </c>
    </row>
    <row r="211" spans="1:39" s="2" customFormat="1" ht="21" hidden="1" customHeight="1">
      <c r="A211" s="29" t="s">
        <v>56</v>
      </c>
      <c r="B211" s="80" t="s">
        <v>72</v>
      </c>
      <c r="C211" s="31">
        <v>11</v>
      </c>
      <c r="D211" s="31" t="s">
        <v>99</v>
      </c>
      <c r="E211" s="31" t="s">
        <v>75</v>
      </c>
      <c r="F211" s="31" t="s">
        <v>79</v>
      </c>
      <c r="G211" s="31"/>
      <c r="H211" s="31" t="s">
        <v>43</v>
      </c>
      <c r="I211" s="33">
        <v>300</v>
      </c>
      <c r="J211" s="34">
        <v>469.99</v>
      </c>
      <c r="K211" s="34">
        <f t="shared" si="124"/>
        <v>3195.9319999999998</v>
      </c>
      <c r="L211" s="19">
        <v>6.8</v>
      </c>
      <c r="M211" s="34">
        <f t="shared" si="109"/>
        <v>958779.6</v>
      </c>
      <c r="N211" s="35">
        <v>0.2</v>
      </c>
      <c r="O211" s="36">
        <v>22.92</v>
      </c>
      <c r="P211" s="34">
        <f>(J211*0.15*I211+O211*I211)*L211+J211*I211*N211</f>
        <v>218773.14</v>
      </c>
      <c r="Q211" s="37">
        <v>0.25538805399793502</v>
      </c>
      <c r="R211" s="34">
        <f t="shared" si="110"/>
        <v>191755.92</v>
      </c>
      <c r="S211" s="37">
        <v>0.2</v>
      </c>
      <c r="T211" s="18">
        <f t="shared" si="111"/>
        <v>548250.54</v>
      </c>
      <c r="U211" s="22">
        <v>0.59461194600206502</v>
      </c>
      <c r="V211" s="34">
        <f t="shared" si="112"/>
        <v>143816.94</v>
      </c>
      <c r="W211" s="37">
        <v>0.15</v>
      </c>
      <c r="X211" s="36">
        <v>850</v>
      </c>
      <c r="Y211" s="34">
        <f t="shared" si="127"/>
        <v>255000</v>
      </c>
      <c r="Z211" s="37">
        <v>0.29228027407676899</v>
      </c>
      <c r="AA211" s="34">
        <f t="shared" si="126"/>
        <v>57526.775999999998</v>
      </c>
      <c r="AB211" s="37">
        <v>0.06</v>
      </c>
      <c r="AC211" s="18">
        <f t="shared" si="125"/>
        <v>38351.184000000001</v>
      </c>
      <c r="AD211" s="38">
        <v>0.03</v>
      </c>
      <c r="AE211" s="34">
        <v>0</v>
      </c>
      <c r="AF211" s="38">
        <v>0</v>
      </c>
      <c r="AG211" s="34">
        <f t="shared" si="113"/>
        <v>53555.639999999898</v>
      </c>
      <c r="AH211" s="35">
        <f t="shared" si="114"/>
        <v>5.58581346536784E-2</v>
      </c>
    </row>
    <row r="212" spans="1:39" s="1" customFormat="1" ht="21" hidden="1" customHeight="1">
      <c r="A212" s="29" t="s">
        <v>56</v>
      </c>
      <c r="B212" s="80" t="s">
        <v>59</v>
      </c>
      <c r="C212" s="31">
        <v>11</v>
      </c>
      <c r="D212" s="31" t="s">
        <v>60</v>
      </c>
      <c r="E212" s="31" t="s">
        <v>35</v>
      </c>
      <c r="F212" s="31" t="s">
        <v>36</v>
      </c>
      <c r="G212" s="31"/>
      <c r="H212" s="31" t="s">
        <v>43</v>
      </c>
      <c r="I212" s="33">
        <v>13000</v>
      </c>
      <c r="J212" s="34">
        <v>69.989999999999995</v>
      </c>
      <c r="K212" s="34">
        <f t="shared" si="124"/>
        <v>475.93200000000002</v>
      </c>
      <c r="L212" s="19">
        <v>6.8</v>
      </c>
      <c r="M212" s="34">
        <f t="shared" si="109"/>
        <v>6187116</v>
      </c>
      <c r="N212" s="35">
        <v>0.08</v>
      </c>
      <c r="O212" s="36">
        <v>11.04</v>
      </c>
      <c r="P212" s="34">
        <f t="shared" ref="P212:P239" si="128">(J212*0.15*I212+O212*I212)*L212+M212*N212</f>
        <v>2398972.6800000002</v>
      </c>
      <c r="Q212" s="37">
        <f t="shared" ref="Q212:Q234" si="129">P212/M212</f>
        <v>0.38773681954564898</v>
      </c>
      <c r="R212" s="34">
        <f t="shared" si="110"/>
        <v>618711.6</v>
      </c>
      <c r="S212" s="37">
        <v>0.1</v>
      </c>
      <c r="T212" s="18">
        <f t="shared" si="111"/>
        <v>3169431.72</v>
      </c>
      <c r="U212" s="22">
        <f t="shared" ref="U212:U244" si="130">T212/M212</f>
        <v>0.51226318045435104</v>
      </c>
      <c r="V212" s="34">
        <f t="shared" si="112"/>
        <v>185613.48</v>
      </c>
      <c r="W212" s="37">
        <v>0.03</v>
      </c>
      <c r="X212" s="36">
        <v>142</v>
      </c>
      <c r="Y212" s="34">
        <f t="shared" si="127"/>
        <v>1846000</v>
      </c>
      <c r="Z212" s="37">
        <f t="shared" ref="Z212:Z223" si="131">Y212/M212</f>
        <v>0.29836195086693101</v>
      </c>
      <c r="AA212" s="34">
        <f t="shared" si="126"/>
        <v>371226.96</v>
      </c>
      <c r="AB212" s="37">
        <v>0.06</v>
      </c>
      <c r="AC212" s="18">
        <f t="shared" si="125"/>
        <v>247484.64</v>
      </c>
      <c r="AD212" s="38">
        <v>0.02</v>
      </c>
      <c r="AE212" s="34">
        <v>0</v>
      </c>
      <c r="AF212" s="38">
        <v>0</v>
      </c>
      <c r="AG212" s="34">
        <f t="shared" si="113"/>
        <v>519106.64</v>
      </c>
      <c r="AH212" s="35">
        <f t="shared" si="114"/>
        <v>8.3901229587419995E-2</v>
      </c>
      <c r="AI212" s="13"/>
      <c r="AJ212" s="13"/>
      <c r="AK212" s="13"/>
      <c r="AL212" s="13"/>
      <c r="AM212" s="13"/>
    </row>
    <row r="213" spans="1:39" s="1" customFormat="1" ht="21" hidden="1" customHeight="1">
      <c r="A213" s="29" t="s">
        <v>56</v>
      </c>
      <c r="B213" s="80" t="s">
        <v>59</v>
      </c>
      <c r="C213" s="31">
        <v>11</v>
      </c>
      <c r="D213" s="31" t="s">
        <v>61</v>
      </c>
      <c r="E213" s="31" t="s">
        <v>35</v>
      </c>
      <c r="F213" s="31" t="s">
        <v>36</v>
      </c>
      <c r="G213" s="31"/>
      <c r="H213" s="31" t="s">
        <v>43</v>
      </c>
      <c r="I213" s="33">
        <v>1500</v>
      </c>
      <c r="J213" s="34">
        <v>79.989999999999995</v>
      </c>
      <c r="K213" s="34">
        <f t="shared" si="124"/>
        <v>543.93200000000002</v>
      </c>
      <c r="L213" s="19">
        <v>6.8</v>
      </c>
      <c r="M213" s="34">
        <f t="shared" si="109"/>
        <v>815898</v>
      </c>
      <c r="N213" s="35">
        <v>0.08</v>
      </c>
      <c r="O213" s="36">
        <v>15.79</v>
      </c>
      <c r="P213" s="34">
        <f t="shared" si="128"/>
        <v>348714.54</v>
      </c>
      <c r="Q213" s="37">
        <f t="shared" si="129"/>
        <v>0.42739967495936998</v>
      </c>
      <c r="R213" s="34">
        <f t="shared" si="110"/>
        <v>81589.8</v>
      </c>
      <c r="S213" s="37">
        <v>0.1</v>
      </c>
      <c r="T213" s="18">
        <f t="shared" si="111"/>
        <v>385593.66</v>
      </c>
      <c r="U213" s="22">
        <f t="shared" si="130"/>
        <v>0.47260032504062999</v>
      </c>
      <c r="V213" s="34">
        <f t="shared" si="112"/>
        <v>24476.94</v>
      </c>
      <c r="W213" s="37">
        <v>0.03</v>
      </c>
      <c r="X213" s="36">
        <v>170</v>
      </c>
      <c r="Y213" s="34">
        <f t="shared" si="127"/>
        <v>255000</v>
      </c>
      <c r="Z213" s="37">
        <f t="shared" si="131"/>
        <v>0.31253906738342302</v>
      </c>
      <c r="AA213" s="34">
        <f t="shared" si="126"/>
        <v>48953.88</v>
      </c>
      <c r="AB213" s="37">
        <v>0.06</v>
      </c>
      <c r="AC213" s="18">
        <f t="shared" si="125"/>
        <v>32635.919999999998</v>
      </c>
      <c r="AD213" s="38">
        <v>0.02</v>
      </c>
      <c r="AE213" s="34">
        <v>0</v>
      </c>
      <c r="AF213" s="38">
        <v>0</v>
      </c>
      <c r="AG213" s="34">
        <f t="shared" si="113"/>
        <v>24526.92</v>
      </c>
      <c r="AH213" s="35">
        <f t="shared" si="114"/>
        <v>3.0061257657207199E-2</v>
      </c>
      <c r="AI213" s="13"/>
      <c r="AJ213" s="13"/>
      <c r="AK213" s="13"/>
      <c r="AL213" s="13"/>
      <c r="AM213" s="13"/>
    </row>
    <row r="214" spans="1:39" s="1" customFormat="1" ht="21" hidden="1" customHeight="1">
      <c r="A214" s="29" t="s">
        <v>56</v>
      </c>
      <c r="B214" s="80" t="s">
        <v>59</v>
      </c>
      <c r="C214" s="31">
        <v>11</v>
      </c>
      <c r="D214" s="31" t="s">
        <v>62</v>
      </c>
      <c r="E214" s="31" t="s">
        <v>35</v>
      </c>
      <c r="F214" s="31" t="s">
        <v>36</v>
      </c>
      <c r="G214" s="31"/>
      <c r="H214" s="31" t="s">
        <v>43</v>
      </c>
      <c r="I214" s="33">
        <v>13000</v>
      </c>
      <c r="J214" s="34">
        <v>79.989999999999995</v>
      </c>
      <c r="K214" s="34">
        <f t="shared" si="124"/>
        <v>543.93200000000002</v>
      </c>
      <c r="L214" s="19">
        <v>6.8</v>
      </c>
      <c r="M214" s="34">
        <f t="shared" si="109"/>
        <v>7071116</v>
      </c>
      <c r="N214" s="35">
        <v>0.08</v>
      </c>
      <c r="O214" s="36">
        <v>15.79</v>
      </c>
      <c r="P214" s="34">
        <f t="shared" si="128"/>
        <v>3022192.68</v>
      </c>
      <c r="Q214" s="37">
        <f t="shared" si="129"/>
        <v>0.42739967495936998</v>
      </c>
      <c r="R214" s="34">
        <f t="shared" si="110"/>
        <v>707111.6</v>
      </c>
      <c r="S214" s="37">
        <v>0.1</v>
      </c>
      <c r="T214" s="18">
        <f t="shared" si="111"/>
        <v>3341811.72</v>
      </c>
      <c r="U214" s="22">
        <f t="shared" si="130"/>
        <v>0.47260032504062999</v>
      </c>
      <c r="V214" s="34">
        <f t="shared" si="112"/>
        <v>212133.48</v>
      </c>
      <c r="W214" s="37">
        <v>0.03</v>
      </c>
      <c r="X214" s="36">
        <v>170</v>
      </c>
      <c r="Y214" s="34">
        <f t="shared" si="127"/>
        <v>2210000</v>
      </c>
      <c r="Z214" s="37">
        <f t="shared" si="131"/>
        <v>0.31253906738342302</v>
      </c>
      <c r="AA214" s="34">
        <f t="shared" si="126"/>
        <v>424266.96</v>
      </c>
      <c r="AB214" s="37">
        <v>0.06</v>
      </c>
      <c r="AC214" s="18">
        <f t="shared" si="125"/>
        <v>282844.64</v>
      </c>
      <c r="AD214" s="38">
        <v>0.02</v>
      </c>
      <c r="AE214" s="34">
        <v>0</v>
      </c>
      <c r="AF214" s="38">
        <v>0</v>
      </c>
      <c r="AG214" s="34">
        <f t="shared" si="113"/>
        <v>212566.64</v>
      </c>
      <c r="AH214" s="35">
        <f t="shared" si="114"/>
        <v>3.0061257657207099E-2</v>
      </c>
      <c r="AI214" s="13"/>
      <c r="AJ214" s="13"/>
      <c r="AK214" s="13"/>
      <c r="AL214" s="13"/>
      <c r="AM214" s="13"/>
    </row>
    <row r="215" spans="1:39" s="1" customFormat="1" ht="21" hidden="1" customHeight="1">
      <c r="A215" s="29" t="s">
        <v>56</v>
      </c>
      <c r="B215" s="80" t="s">
        <v>59</v>
      </c>
      <c r="C215" s="31">
        <v>11</v>
      </c>
      <c r="D215" s="31" t="s">
        <v>63</v>
      </c>
      <c r="E215" s="31" t="s">
        <v>35</v>
      </c>
      <c r="F215" s="31" t="s">
        <v>36</v>
      </c>
      <c r="G215" s="31"/>
      <c r="H215" s="31" t="s">
        <v>43</v>
      </c>
      <c r="I215" s="33">
        <v>1500</v>
      </c>
      <c r="J215" s="34">
        <v>79.989999999999995</v>
      </c>
      <c r="K215" s="34">
        <f t="shared" si="124"/>
        <v>543.93200000000002</v>
      </c>
      <c r="L215" s="19">
        <v>6.8</v>
      </c>
      <c r="M215" s="34">
        <f t="shared" si="109"/>
        <v>815898</v>
      </c>
      <c r="N215" s="35">
        <v>0.08</v>
      </c>
      <c r="O215" s="36">
        <v>14.89</v>
      </c>
      <c r="P215" s="34">
        <f t="shared" si="128"/>
        <v>339534.54</v>
      </c>
      <c r="Q215" s="37">
        <f t="shared" si="129"/>
        <v>0.41614826853356701</v>
      </c>
      <c r="R215" s="34">
        <f t="shared" si="110"/>
        <v>81589.8</v>
      </c>
      <c r="S215" s="37">
        <v>0.1</v>
      </c>
      <c r="T215" s="18">
        <f t="shared" si="111"/>
        <v>394773.66</v>
      </c>
      <c r="U215" s="22">
        <f t="shared" si="130"/>
        <v>0.48385173146643301</v>
      </c>
      <c r="V215" s="34">
        <f t="shared" si="112"/>
        <v>24476.94</v>
      </c>
      <c r="W215" s="37">
        <v>0.03</v>
      </c>
      <c r="X215" s="36">
        <v>155</v>
      </c>
      <c r="Y215" s="34">
        <f t="shared" si="127"/>
        <v>232500</v>
      </c>
      <c r="Z215" s="37">
        <f t="shared" si="131"/>
        <v>0.28496209084959201</v>
      </c>
      <c r="AA215" s="34">
        <f t="shared" si="126"/>
        <v>48953.88</v>
      </c>
      <c r="AB215" s="37">
        <v>0.06</v>
      </c>
      <c r="AC215" s="18">
        <f>M215*AD215</f>
        <v>24476.94</v>
      </c>
      <c r="AD215" s="38">
        <v>0.03</v>
      </c>
      <c r="AE215" s="34">
        <v>0</v>
      </c>
      <c r="AF215" s="38">
        <v>0</v>
      </c>
      <c r="AG215" s="34">
        <f t="shared" si="113"/>
        <v>64365.9</v>
      </c>
      <c r="AH215" s="35">
        <f t="shared" si="114"/>
        <v>7.8889640616841797E-2</v>
      </c>
      <c r="AI215" s="13"/>
      <c r="AJ215" s="13"/>
      <c r="AK215" s="13"/>
      <c r="AL215" s="13"/>
      <c r="AM215" s="13"/>
    </row>
    <row r="216" spans="1:39" s="1" customFormat="1" ht="21" hidden="1" customHeight="1">
      <c r="A216" s="49" t="s">
        <v>32</v>
      </c>
      <c r="B216" s="49" t="s">
        <v>33</v>
      </c>
      <c r="C216" s="59">
        <v>12</v>
      </c>
      <c r="D216" s="60" t="s">
        <v>87</v>
      </c>
      <c r="E216" s="60" t="s">
        <v>35</v>
      </c>
      <c r="F216" s="60" t="s">
        <v>36</v>
      </c>
      <c r="G216" s="60"/>
      <c r="H216" s="60" t="s">
        <v>37</v>
      </c>
      <c r="I216" s="51">
        <v>10000</v>
      </c>
      <c r="J216" s="52">
        <v>79.989999999999995</v>
      </c>
      <c r="K216" s="52">
        <f t="shared" si="124"/>
        <v>543.93200000000002</v>
      </c>
      <c r="L216" s="53">
        <v>6.8</v>
      </c>
      <c r="M216" s="52">
        <f t="shared" si="109"/>
        <v>5439320</v>
      </c>
      <c r="N216" s="54">
        <v>0.15</v>
      </c>
      <c r="O216" s="55">
        <v>9.8000000000000007</v>
      </c>
      <c r="P216" s="52">
        <f t="shared" si="128"/>
        <v>2298196</v>
      </c>
      <c r="Q216" s="56">
        <f t="shared" si="129"/>
        <v>0.42251531441430201</v>
      </c>
      <c r="R216" s="52">
        <f t="shared" si="110"/>
        <v>543932</v>
      </c>
      <c r="S216" s="56">
        <v>0.1</v>
      </c>
      <c r="T216" s="52">
        <f t="shared" si="111"/>
        <v>2597192</v>
      </c>
      <c r="U216" s="56">
        <f t="shared" si="130"/>
        <v>0.47748468558569801</v>
      </c>
      <c r="V216" s="55">
        <f t="shared" si="112"/>
        <v>163179.6</v>
      </c>
      <c r="W216" s="56">
        <v>0.03</v>
      </c>
      <c r="X216" s="55">
        <v>150</v>
      </c>
      <c r="Y216" s="52">
        <f t="shared" si="127"/>
        <v>1500000</v>
      </c>
      <c r="Z216" s="56">
        <f t="shared" si="131"/>
        <v>0.27576976533831399</v>
      </c>
      <c r="AA216" s="61">
        <f>2.8*I216*L216</f>
        <v>190400</v>
      </c>
      <c r="AB216" s="54">
        <f t="shared" ref="AB216:AB221" si="132">AA216/M216</f>
        <v>3.5004375546943398E-2</v>
      </c>
      <c r="AC216" s="52">
        <f>M216*AD216</f>
        <v>163179.6</v>
      </c>
      <c r="AD216" s="57">
        <v>0.03</v>
      </c>
      <c r="AE216" s="52">
        <v>0</v>
      </c>
      <c r="AF216" s="57">
        <v>0</v>
      </c>
      <c r="AG216" s="52">
        <f t="shared" si="113"/>
        <v>580432.80000000005</v>
      </c>
      <c r="AH216" s="54">
        <f t="shared" si="114"/>
        <v>0.10671054470044</v>
      </c>
    </row>
    <row r="217" spans="1:39" s="1" customFormat="1" ht="21" hidden="1" customHeight="1">
      <c r="A217" s="49" t="s">
        <v>32</v>
      </c>
      <c r="B217" s="49" t="s">
        <v>33</v>
      </c>
      <c r="C217" s="59">
        <v>12</v>
      </c>
      <c r="D217" s="60" t="s">
        <v>94</v>
      </c>
      <c r="E217" s="60" t="s">
        <v>35</v>
      </c>
      <c r="F217" s="60" t="s">
        <v>36</v>
      </c>
      <c r="G217" s="60"/>
      <c r="H217" s="60" t="s">
        <v>37</v>
      </c>
      <c r="I217" s="51">
        <v>6000</v>
      </c>
      <c r="J217" s="52">
        <v>59.99</v>
      </c>
      <c r="K217" s="52">
        <f t="shared" si="124"/>
        <v>407.93200000000002</v>
      </c>
      <c r="L217" s="53">
        <v>6.8</v>
      </c>
      <c r="M217" s="52">
        <f t="shared" si="109"/>
        <v>2447592</v>
      </c>
      <c r="N217" s="54">
        <v>0.12</v>
      </c>
      <c r="O217" s="55">
        <v>9.8000000000000007</v>
      </c>
      <c r="P217" s="52">
        <f t="shared" si="128"/>
        <v>1060689.8400000001</v>
      </c>
      <c r="Q217" s="56">
        <f t="shared" si="129"/>
        <v>0.433360560093349</v>
      </c>
      <c r="R217" s="52">
        <f t="shared" si="110"/>
        <v>293711.03999999998</v>
      </c>
      <c r="S217" s="56">
        <v>0.12</v>
      </c>
      <c r="T217" s="52">
        <f t="shared" si="111"/>
        <v>1093191.1200000001</v>
      </c>
      <c r="U217" s="56">
        <f t="shared" si="130"/>
        <v>0.446639439906651</v>
      </c>
      <c r="V217" s="55">
        <f t="shared" si="112"/>
        <v>73427.759999999995</v>
      </c>
      <c r="W217" s="56">
        <v>0.03</v>
      </c>
      <c r="X217" s="55">
        <v>95</v>
      </c>
      <c r="Y217" s="52">
        <f t="shared" si="127"/>
        <v>570000</v>
      </c>
      <c r="Z217" s="56">
        <f t="shared" si="131"/>
        <v>0.23288195091338801</v>
      </c>
      <c r="AA217" s="61">
        <f>2.67*I217*L217</f>
        <v>108936</v>
      </c>
      <c r="AB217" s="56">
        <f t="shared" si="132"/>
        <v>4.4507417902983799E-2</v>
      </c>
      <c r="AC217" s="52">
        <f>M217*AD217</f>
        <v>73427.759999999995</v>
      </c>
      <c r="AD217" s="57">
        <v>0.03</v>
      </c>
      <c r="AE217" s="52">
        <v>0</v>
      </c>
      <c r="AF217" s="57">
        <v>0</v>
      </c>
      <c r="AG217" s="52">
        <f t="shared" si="113"/>
        <v>267399.59999999998</v>
      </c>
      <c r="AH217" s="54">
        <f t="shared" si="114"/>
        <v>0.10925007109028</v>
      </c>
    </row>
    <row r="218" spans="1:39" s="2" customFormat="1" ht="21" hidden="1" customHeight="1">
      <c r="A218" s="49" t="s">
        <v>32</v>
      </c>
      <c r="B218" s="50" t="s">
        <v>38</v>
      </c>
      <c r="C218" s="59">
        <v>12</v>
      </c>
      <c r="D218" s="60" t="s">
        <v>88</v>
      </c>
      <c r="E218" s="60" t="s">
        <v>35</v>
      </c>
      <c r="F218" s="60" t="s">
        <v>36</v>
      </c>
      <c r="G218" s="60"/>
      <c r="H218" s="60" t="s">
        <v>70</v>
      </c>
      <c r="I218" s="51">
        <v>4000</v>
      </c>
      <c r="J218" s="52">
        <v>29.99</v>
      </c>
      <c r="K218" s="61">
        <f t="shared" si="124"/>
        <v>203.93199999999999</v>
      </c>
      <c r="L218" s="53">
        <v>6.8</v>
      </c>
      <c r="M218" s="61">
        <f t="shared" si="109"/>
        <v>815728</v>
      </c>
      <c r="N218" s="54">
        <v>0.12</v>
      </c>
      <c r="O218" s="55">
        <v>5.8</v>
      </c>
      <c r="P218" s="52">
        <f t="shared" si="128"/>
        <v>378006.56</v>
      </c>
      <c r="Q218" s="56">
        <f t="shared" si="129"/>
        <v>0.46339779926642199</v>
      </c>
      <c r="R218" s="61">
        <f t="shared" si="110"/>
        <v>114201.92</v>
      </c>
      <c r="S218" s="56">
        <v>0.14000000000000001</v>
      </c>
      <c r="T218" s="52">
        <f t="shared" si="111"/>
        <v>323519.52</v>
      </c>
      <c r="U218" s="56">
        <f t="shared" si="130"/>
        <v>0.39660220073357799</v>
      </c>
      <c r="V218" s="55">
        <f t="shared" si="112"/>
        <v>24471.84</v>
      </c>
      <c r="W218" s="56">
        <v>0.03</v>
      </c>
      <c r="X218" s="55">
        <v>40</v>
      </c>
      <c r="Y218" s="52">
        <f t="shared" si="127"/>
        <v>160000</v>
      </c>
      <c r="Z218" s="56">
        <f t="shared" si="131"/>
        <v>0.19614381264343</v>
      </c>
      <c r="AA218" s="61">
        <f>0.91*I218*L218</f>
        <v>24752</v>
      </c>
      <c r="AB218" s="56">
        <f t="shared" si="132"/>
        <v>3.03434478159386E-2</v>
      </c>
      <c r="AC218" s="52">
        <f t="shared" ref="AC218:AC231" si="133">M218*0.04</f>
        <v>32629.119999999999</v>
      </c>
      <c r="AD218" s="57">
        <f>AC218/M218</f>
        <v>0.04</v>
      </c>
      <c r="AE218" s="52">
        <v>0</v>
      </c>
      <c r="AF218" s="57">
        <f t="shared" ref="AF218:AF223" si="134">AE218/M218</f>
        <v>0</v>
      </c>
      <c r="AG218" s="52">
        <f t="shared" si="113"/>
        <v>81666.559999999998</v>
      </c>
      <c r="AH218" s="54">
        <f t="shared" si="114"/>
        <v>0.100114940274209</v>
      </c>
    </row>
    <row r="219" spans="1:39" s="2" customFormat="1" ht="21" hidden="1" customHeight="1">
      <c r="A219" s="49" t="s">
        <v>32</v>
      </c>
      <c r="B219" s="50" t="s">
        <v>38</v>
      </c>
      <c r="C219" s="59">
        <v>12</v>
      </c>
      <c r="D219" s="60" t="s">
        <v>89</v>
      </c>
      <c r="E219" s="60" t="s">
        <v>35</v>
      </c>
      <c r="F219" s="60" t="s">
        <v>36</v>
      </c>
      <c r="G219" s="60"/>
      <c r="H219" s="60" t="s">
        <v>70</v>
      </c>
      <c r="I219" s="51">
        <v>2000</v>
      </c>
      <c r="J219" s="52">
        <v>49.99</v>
      </c>
      <c r="K219" s="61">
        <f t="shared" si="124"/>
        <v>339.93200000000002</v>
      </c>
      <c r="L219" s="53">
        <v>6.8</v>
      </c>
      <c r="M219" s="61">
        <f t="shared" si="109"/>
        <v>679864</v>
      </c>
      <c r="N219" s="54">
        <v>0.12</v>
      </c>
      <c r="O219" s="55">
        <v>6.35</v>
      </c>
      <c r="P219" s="52">
        <f t="shared" si="128"/>
        <v>269923.28000000003</v>
      </c>
      <c r="Q219" s="56">
        <f t="shared" si="129"/>
        <v>0.39702540508101603</v>
      </c>
      <c r="R219" s="61">
        <f t="shared" si="110"/>
        <v>95180.96</v>
      </c>
      <c r="S219" s="56">
        <v>0.14000000000000001</v>
      </c>
      <c r="T219" s="52">
        <f t="shared" si="111"/>
        <v>314759.76</v>
      </c>
      <c r="U219" s="56">
        <f t="shared" si="130"/>
        <v>0.46297459491898402</v>
      </c>
      <c r="V219" s="55">
        <f t="shared" si="112"/>
        <v>20395.919999999998</v>
      </c>
      <c r="W219" s="56">
        <v>0.03</v>
      </c>
      <c r="X219" s="55">
        <v>80</v>
      </c>
      <c r="Y219" s="52">
        <f t="shared" si="127"/>
        <v>160000</v>
      </c>
      <c r="Z219" s="56">
        <f t="shared" si="131"/>
        <v>0.235341185884236</v>
      </c>
      <c r="AA219" s="61">
        <f>1.55*I219*L219</f>
        <v>21080</v>
      </c>
      <c r="AB219" s="56">
        <f t="shared" si="132"/>
        <v>3.10062012402481E-2</v>
      </c>
      <c r="AC219" s="52">
        <f t="shared" si="133"/>
        <v>27194.560000000001</v>
      </c>
      <c r="AD219" s="57">
        <f>AC219/M219</f>
        <v>0.04</v>
      </c>
      <c r="AE219" s="52">
        <v>0</v>
      </c>
      <c r="AF219" s="57">
        <f t="shared" si="134"/>
        <v>0</v>
      </c>
      <c r="AG219" s="52">
        <f t="shared" si="113"/>
        <v>86089.279999999999</v>
      </c>
      <c r="AH219" s="54">
        <f t="shared" si="114"/>
        <v>0.12662720779450001</v>
      </c>
    </row>
    <row r="220" spans="1:39" s="2" customFormat="1" ht="21" hidden="1" customHeight="1">
      <c r="A220" s="49" t="s">
        <v>32</v>
      </c>
      <c r="B220" s="50" t="s">
        <v>90</v>
      </c>
      <c r="C220" s="59">
        <v>12</v>
      </c>
      <c r="D220" s="60" t="s">
        <v>91</v>
      </c>
      <c r="E220" s="60" t="s">
        <v>35</v>
      </c>
      <c r="F220" s="60" t="s">
        <v>36</v>
      </c>
      <c r="G220" s="60"/>
      <c r="H220" s="60" t="s">
        <v>37</v>
      </c>
      <c r="I220" s="51">
        <v>6000</v>
      </c>
      <c r="J220" s="52">
        <v>31.99</v>
      </c>
      <c r="K220" s="61">
        <f t="shared" si="124"/>
        <v>217.53200000000001</v>
      </c>
      <c r="L220" s="53">
        <v>6.8</v>
      </c>
      <c r="M220" s="61">
        <f t="shared" si="109"/>
        <v>1305192</v>
      </c>
      <c r="N220" s="54">
        <v>0.08</v>
      </c>
      <c r="O220" s="55">
        <v>4.54</v>
      </c>
      <c r="P220" s="52">
        <f t="shared" si="128"/>
        <v>485426.16</v>
      </c>
      <c r="Q220" s="56">
        <f t="shared" si="129"/>
        <v>0.37191934979681102</v>
      </c>
      <c r="R220" s="61">
        <f t="shared" si="110"/>
        <v>195778.8</v>
      </c>
      <c r="S220" s="56">
        <v>0.15</v>
      </c>
      <c r="T220" s="52">
        <f t="shared" si="111"/>
        <v>623987.04</v>
      </c>
      <c r="U220" s="56">
        <f t="shared" si="130"/>
        <v>0.47808065020318902</v>
      </c>
      <c r="V220" s="55">
        <f t="shared" si="112"/>
        <v>39155.760000000002</v>
      </c>
      <c r="W220" s="56">
        <v>0.03</v>
      </c>
      <c r="X220" s="55">
        <v>36</v>
      </c>
      <c r="Y220" s="52">
        <f t="shared" si="127"/>
        <v>216000</v>
      </c>
      <c r="Z220" s="56">
        <f t="shared" si="131"/>
        <v>0.165492892999651</v>
      </c>
      <c r="AA220" s="61">
        <f>1.3*I220*L220</f>
        <v>53040</v>
      </c>
      <c r="AB220" s="56">
        <f t="shared" si="132"/>
        <v>4.06376992810253E-2</v>
      </c>
      <c r="AC220" s="52">
        <f t="shared" si="133"/>
        <v>52207.68</v>
      </c>
      <c r="AD220" s="57">
        <v>0.02</v>
      </c>
      <c r="AE220" s="52">
        <v>0</v>
      </c>
      <c r="AF220" s="57">
        <f t="shared" si="134"/>
        <v>0</v>
      </c>
      <c r="AG220" s="52">
        <f t="shared" si="113"/>
        <v>263583.59999999998</v>
      </c>
      <c r="AH220" s="54">
        <f t="shared" si="114"/>
        <v>0.201950057922513</v>
      </c>
    </row>
    <row r="221" spans="1:39" s="2" customFormat="1" ht="21" hidden="1" customHeight="1">
      <c r="A221" s="49" t="s">
        <v>32</v>
      </c>
      <c r="B221" s="49" t="s">
        <v>40</v>
      </c>
      <c r="C221" s="59">
        <v>12</v>
      </c>
      <c r="D221" s="60" t="s">
        <v>41</v>
      </c>
      <c r="E221" s="60" t="s">
        <v>42</v>
      </c>
      <c r="F221" s="60" t="s">
        <v>36</v>
      </c>
      <c r="G221" s="60"/>
      <c r="H221" s="60" t="s">
        <v>43</v>
      </c>
      <c r="I221" s="51">
        <v>5000</v>
      </c>
      <c r="J221" s="52">
        <v>71.989999999999995</v>
      </c>
      <c r="K221" s="52">
        <f t="shared" si="124"/>
        <v>489.53199999999998</v>
      </c>
      <c r="L221" s="53">
        <v>6.8</v>
      </c>
      <c r="M221" s="52">
        <f t="shared" si="109"/>
        <v>2447660</v>
      </c>
      <c r="N221" s="54">
        <v>0.04</v>
      </c>
      <c r="O221" s="55">
        <v>17.690000000000001</v>
      </c>
      <c r="P221" s="52">
        <f t="shared" si="128"/>
        <v>1066515.3999999999</v>
      </c>
      <c r="Q221" s="56">
        <f t="shared" si="129"/>
        <v>0.435728573412974</v>
      </c>
      <c r="R221" s="52">
        <f t="shared" si="110"/>
        <v>195812.8</v>
      </c>
      <c r="S221" s="56">
        <v>0.08</v>
      </c>
      <c r="T221" s="52">
        <f t="shared" si="111"/>
        <v>1185331.8</v>
      </c>
      <c r="U221" s="56">
        <f t="shared" si="130"/>
        <v>0.48427142658702599</v>
      </c>
      <c r="V221" s="55">
        <f t="shared" si="112"/>
        <v>48953.2</v>
      </c>
      <c r="W221" s="56">
        <v>0.02</v>
      </c>
      <c r="X221" s="55">
        <v>129.5</v>
      </c>
      <c r="Y221" s="52">
        <f t="shared" si="127"/>
        <v>647500</v>
      </c>
      <c r="Z221" s="56">
        <f t="shared" si="131"/>
        <v>0.26453837542795999</v>
      </c>
      <c r="AA221" s="52">
        <f>10.13*I221*L221</f>
        <v>344420</v>
      </c>
      <c r="AB221" s="56">
        <f t="shared" si="132"/>
        <v>0.14071398805389601</v>
      </c>
      <c r="AC221" s="52">
        <f t="shared" si="133"/>
        <v>97906.4</v>
      </c>
      <c r="AD221" s="57">
        <f t="shared" ref="AD221:AD231" si="135">AC221/M221</f>
        <v>0.04</v>
      </c>
      <c r="AE221" s="52">
        <v>0</v>
      </c>
      <c r="AF221" s="57">
        <f t="shared" si="134"/>
        <v>0</v>
      </c>
      <c r="AG221" s="52">
        <f t="shared" si="113"/>
        <v>46552.200000000099</v>
      </c>
      <c r="AH221" s="54">
        <f t="shared" si="114"/>
        <v>1.90190631051699E-2</v>
      </c>
    </row>
    <row r="222" spans="1:39" s="1" customFormat="1" ht="21" hidden="1" customHeight="1">
      <c r="A222" s="49" t="s">
        <v>32</v>
      </c>
      <c r="B222" s="49" t="s">
        <v>40</v>
      </c>
      <c r="C222" s="59">
        <v>12</v>
      </c>
      <c r="D222" s="60" t="s">
        <v>44</v>
      </c>
      <c r="E222" s="60" t="s">
        <v>42</v>
      </c>
      <c r="F222" s="60" t="s">
        <v>36</v>
      </c>
      <c r="G222" s="60"/>
      <c r="H222" s="60" t="s">
        <v>43</v>
      </c>
      <c r="I222" s="51">
        <v>5800</v>
      </c>
      <c r="J222" s="52">
        <v>119.99</v>
      </c>
      <c r="K222" s="52">
        <f t="shared" si="124"/>
        <v>815.93200000000002</v>
      </c>
      <c r="L222" s="53">
        <v>6.8</v>
      </c>
      <c r="M222" s="52">
        <f t="shared" si="109"/>
        <v>4732405.5999999996</v>
      </c>
      <c r="N222" s="54">
        <v>0.04</v>
      </c>
      <c r="O222" s="55">
        <v>19.59</v>
      </c>
      <c r="P222" s="52">
        <f t="shared" si="128"/>
        <v>1671786.6640000001</v>
      </c>
      <c r="Q222" s="56">
        <f t="shared" si="129"/>
        <v>0.35326360530044199</v>
      </c>
      <c r="R222" s="52">
        <f t="shared" si="110"/>
        <v>378592.44799999997</v>
      </c>
      <c r="S222" s="56">
        <v>0.08</v>
      </c>
      <c r="T222" s="52">
        <f t="shared" si="111"/>
        <v>2682026.4879999999</v>
      </c>
      <c r="U222" s="56">
        <f t="shared" si="130"/>
        <v>0.56673639469955805</v>
      </c>
      <c r="V222" s="55">
        <f t="shared" si="112"/>
        <v>94648.111999999994</v>
      </c>
      <c r="W222" s="56">
        <v>0.02</v>
      </c>
      <c r="X222" s="55">
        <v>163.5</v>
      </c>
      <c r="Y222" s="52">
        <f t="shared" si="127"/>
        <v>948300</v>
      </c>
      <c r="Z222" s="56">
        <f t="shared" si="131"/>
        <v>0.200384345754303</v>
      </c>
      <c r="AA222" s="52">
        <f>M222*AB222</f>
        <v>425916.50400000002</v>
      </c>
      <c r="AB222" s="56">
        <v>0.09</v>
      </c>
      <c r="AC222" s="52">
        <f t="shared" si="133"/>
        <v>189296.22399999999</v>
      </c>
      <c r="AD222" s="57">
        <f t="shared" si="135"/>
        <v>0.04</v>
      </c>
      <c r="AE222" s="52">
        <v>0</v>
      </c>
      <c r="AF222" s="57">
        <f t="shared" si="134"/>
        <v>0</v>
      </c>
      <c r="AG222" s="52">
        <f t="shared" si="113"/>
        <v>1023865.648</v>
      </c>
      <c r="AH222" s="54">
        <f t="shared" si="114"/>
        <v>0.216352048945255</v>
      </c>
      <c r="AI222" s="13"/>
      <c r="AJ222" s="13"/>
      <c r="AK222" s="13"/>
      <c r="AL222" s="13"/>
      <c r="AM222" s="13"/>
    </row>
    <row r="223" spans="1:39" s="1" customFormat="1" ht="21" hidden="1" customHeight="1">
      <c r="A223" s="49" t="s">
        <v>32</v>
      </c>
      <c r="B223" s="49" t="s">
        <v>40</v>
      </c>
      <c r="C223" s="59">
        <v>12</v>
      </c>
      <c r="D223" s="60" t="s">
        <v>45</v>
      </c>
      <c r="E223" s="60" t="s">
        <v>42</v>
      </c>
      <c r="F223" s="60" t="s">
        <v>36</v>
      </c>
      <c r="G223" s="60"/>
      <c r="H223" s="60" t="s">
        <v>43</v>
      </c>
      <c r="I223" s="51">
        <v>900</v>
      </c>
      <c r="J223" s="52">
        <v>149.99</v>
      </c>
      <c r="K223" s="52">
        <f t="shared" si="124"/>
        <v>1019.932</v>
      </c>
      <c r="L223" s="53">
        <v>6.8</v>
      </c>
      <c r="M223" s="52">
        <f t="shared" si="109"/>
        <v>917938.8</v>
      </c>
      <c r="N223" s="54">
        <v>0.04</v>
      </c>
      <c r="O223" s="55">
        <v>23.57</v>
      </c>
      <c r="P223" s="52">
        <f t="shared" si="128"/>
        <v>318656.772</v>
      </c>
      <c r="Q223" s="56">
        <f t="shared" si="129"/>
        <v>0.34714380958730601</v>
      </c>
      <c r="R223" s="52">
        <f t="shared" si="110"/>
        <v>73435.104000000007</v>
      </c>
      <c r="S223" s="56">
        <v>0.08</v>
      </c>
      <c r="T223" s="52">
        <f t="shared" si="111"/>
        <v>525846.924</v>
      </c>
      <c r="U223" s="56">
        <f t="shared" si="130"/>
        <v>0.57285619041269398</v>
      </c>
      <c r="V223" s="55">
        <f t="shared" si="112"/>
        <v>18358.776000000002</v>
      </c>
      <c r="W223" s="56">
        <v>0.02</v>
      </c>
      <c r="X223" s="55">
        <v>241</v>
      </c>
      <c r="Y223" s="52">
        <f t="shared" si="127"/>
        <v>216900</v>
      </c>
      <c r="Z223" s="56">
        <f t="shared" si="131"/>
        <v>0.23629026248808699</v>
      </c>
      <c r="AA223" s="52">
        <f>M223*AB223</f>
        <v>73435.104000000007</v>
      </c>
      <c r="AB223" s="56">
        <v>0.08</v>
      </c>
      <c r="AC223" s="52">
        <f t="shared" si="133"/>
        <v>36717.552000000003</v>
      </c>
      <c r="AD223" s="57">
        <f t="shared" si="135"/>
        <v>0.04</v>
      </c>
      <c r="AE223" s="52">
        <v>0</v>
      </c>
      <c r="AF223" s="57">
        <f t="shared" si="134"/>
        <v>0</v>
      </c>
      <c r="AG223" s="52">
        <f t="shared" si="113"/>
        <v>180435.492</v>
      </c>
      <c r="AH223" s="54">
        <f t="shared" si="114"/>
        <v>0.196565927924607</v>
      </c>
      <c r="AI223" s="13"/>
      <c r="AJ223" s="13"/>
      <c r="AK223" s="13"/>
      <c r="AL223" s="13"/>
      <c r="AM223" s="13"/>
    </row>
    <row r="224" spans="1:39" s="2" customFormat="1" ht="21" hidden="1" customHeight="1">
      <c r="A224" s="49" t="s">
        <v>32</v>
      </c>
      <c r="B224" s="49" t="s">
        <v>46</v>
      </c>
      <c r="C224" s="59">
        <v>12</v>
      </c>
      <c r="D224" s="60" t="s">
        <v>47</v>
      </c>
      <c r="E224" s="60" t="s">
        <v>42</v>
      </c>
      <c r="F224" s="60" t="s">
        <v>36</v>
      </c>
      <c r="G224" s="60"/>
      <c r="H224" s="60" t="s">
        <v>43</v>
      </c>
      <c r="I224" s="51">
        <v>4000</v>
      </c>
      <c r="J224" s="52">
        <v>112.99</v>
      </c>
      <c r="K224" s="52">
        <f t="shared" si="124"/>
        <v>768.33199999999999</v>
      </c>
      <c r="L224" s="53">
        <v>6.8</v>
      </c>
      <c r="M224" s="52">
        <f t="shared" si="109"/>
        <v>3073328</v>
      </c>
      <c r="N224" s="54">
        <v>0.04</v>
      </c>
      <c r="O224" s="55">
        <v>23.57</v>
      </c>
      <c r="P224" s="52">
        <f t="shared" si="128"/>
        <v>1225036.32</v>
      </c>
      <c r="Q224" s="56">
        <f t="shared" si="129"/>
        <v>0.39860253119745098</v>
      </c>
      <c r="R224" s="52">
        <f t="shared" si="110"/>
        <v>307332.8</v>
      </c>
      <c r="S224" s="56">
        <v>0.1</v>
      </c>
      <c r="T224" s="52">
        <f t="shared" si="111"/>
        <v>1540958.88</v>
      </c>
      <c r="U224" s="56">
        <f t="shared" si="130"/>
        <v>0.50139746880254898</v>
      </c>
      <c r="V224" s="55">
        <f t="shared" si="112"/>
        <v>61466.559999999998</v>
      </c>
      <c r="W224" s="56">
        <v>0.02</v>
      </c>
      <c r="X224" s="55">
        <v>176</v>
      </c>
      <c r="Y224" s="52">
        <f t="shared" si="127"/>
        <v>704000</v>
      </c>
      <c r="Z224" s="56">
        <v>0.28000000000000003</v>
      </c>
      <c r="AA224" s="52">
        <f>M224*AB224</f>
        <v>215132.96</v>
      </c>
      <c r="AB224" s="56">
        <v>7.0000000000000007E-2</v>
      </c>
      <c r="AC224" s="52">
        <f t="shared" si="133"/>
        <v>122933.12</v>
      </c>
      <c r="AD224" s="57">
        <f t="shared" si="135"/>
        <v>0.04</v>
      </c>
      <c r="AE224" s="52">
        <v>0</v>
      </c>
      <c r="AF224" s="57">
        <v>0</v>
      </c>
      <c r="AG224" s="52">
        <f t="shared" si="113"/>
        <v>437426.24</v>
      </c>
      <c r="AH224" s="54">
        <f t="shared" si="114"/>
        <v>0.142329826168896</v>
      </c>
    </row>
    <row r="225" spans="1:39" s="2" customFormat="1" ht="21" hidden="1" customHeight="1">
      <c r="A225" s="49" t="s">
        <v>32</v>
      </c>
      <c r="B225" s="49" t="s">
        <v>46</v>
      </c>
      <c r="C225" s="59">
        <v>12</v>
      </c>
      <c r="D225" s="60" t="s">
        <v>48</v>
      </c>
      <c r="E225" s="60" t="s">
        <v>42</v>
      </c>
      <c r="F225" s="60" t="s">
        <v>36</v>
      </c>
      <c r="G225" s="60"/>
      <c r="H225" s="60" t="s">
        <v>43</v>
      </c>
      <c r="I225" s="51">
        <v>3000</v>
      </c>
      <c r="J225" s="52">
        <v>159.99</v>
      </c>
      <c r="K225" s="52">
        <f t="shared" si="124"/>
        <v>1087.932</v>
      </c>
      <c r="L225" s="53">
        <v>6.8</v>
      </c>
      <c r="M225" s="52">
        <f t="shared" si="109"/>
        <v>3263796</v>
      </c>
      <c r="N225" s="54">
        <v>0.04</v>
      </c>
      <c r="O225" s="55">
        <v>29.27</v>
      </c>
      <c r="P225" s="52">
        <f t="shared" si="128"/>
        <v>1217229.24</v>
      </c>
      <c r="Q225" s="56">
        <f t="shared" si="129"/>
        <v>0.37294893430839399</v>
      </c>
      <c r="R225" s="52">
        <f t="shared" si="110"/>
        <v>326379.59999999998</v>
      </c>
      <c r="S225" s="56">
        <v>0.1</v>
      </c>
      <c r="T225" s="52">
        <f t="shared" si="111"/>
        <v>1720187.16</v>
      </c>
      <c r="U225" s="56">
        <f t="shared" si="130"/>
        <v>0.52705106569160598</v>
      </c>
      <c r="V225" s="55">
        <f t="shared" si="112"/>
        <v>65275.92</v>
      </c>
      <c r="W225" s="56">
        <v>0.02</v>
      </c>
      <c r="X225" s="55">
        <v>280.3</v>
      </c>
      <c r="Y225" s="52">
        <f t="shared" si="127"/>
        <v>840900</v>
      </c>
      <c r="Z225" s="56">
        <f t="shared" ref="Z225:Z234" si="136">Y225/M225</f>
        <v>0.25764477926929302</v>
      </c>
      <c r="AA225" s="52">
        <f>M225*AB225</f>
        <v>228465.72</v>
      </c>
      <c r="AB225" s="56">
        <v>7.0000000000000007E-2</v>
      </c>
      <c r="AC225" s="52">
        <f t="shared" si="133"/>
        <v>130551.84</v>
      </c>
      <c r="AD225" s="57">
        <f t="shared" si="135"/>
        <v>0.04</v>
      </c>
      <c r="AE225" s="52">
        <v>0</v>
      </c>
      <c r="AF225" s="57">
        <v>0</v>
      </c>
      <c r="AG225" s="52">
        <f t="shared" si="113"/>
        <v>454993.68</v>
      </c>
      <c r="AH225" s="54">
        <f t="shared" si="114"/>
        <v>0.13940628642231301</v>
      </c>
    </row>
    <row r="226" spans="1:39" s="2" customFormat="1" ht="21" hidden="1" customHeight="1">
      <c r="A226" s="49" t="s">
        <v>32</v>
      </c>
      <c r="B226" s="49" t="s">
        <v>46</v>
      </c>
      <c r="C226" s="59">
        <v>12</v>
      </c>
      <c r="D226" s="60" t="s">
        <v>53</v>
      </c>
      <c r="E226" s="60" t="s">
        <v>42</v>
      </c>
      <c r="F226" s="60" t="s">
        <v>36</v>
      </c>
      <c r="G226" s="60"/>
      <c r="H226" s="60" t="s">
        <v>37</v>
      </c>
      <c r="I226" s="51">
        <v>1800</v>
      </c>
      <c r="J226" s="52">
        <v>89.99</v>
      </c>
      <c r="K226" s="52">
        <f t="shared" si="124"/>
        <v>611.93200000000002</v>
      </c>
      <c r="L226" s="53">
        <v>6.8</v>
      </c>
      <c r="M226" s="52">
        <f t="shared" si="109"/>
        <v>1101477.6000000001</v>
      </c>
      <c r="N226" s="54">
        <v>0.03</v>
      </c>
      <c r="O226" s="55">
        <v>18.63</v>
      </c>
      <c r="P226" s="52">
        <f t="shared" si="128"/>
        <v>426297.16800000001</v>
      </c>
      <c r="Q226" s="56">
        <f t="shared" si="129"/>
        <v>0.38702300255583999</v>
      </c>
      <c r="R226" s="52">
        <f t="shared" si="110"/>
        <v>143192.08799999999</v>
      </c>
      <c r="S226" s="56">
        <v>0.13</v>
      </c>
      <c r="T226" s="52">
        <f t="shared" si="111"/>
        <v>531988.34400000004</v>
      </c>
      <c r="U226" s="56">
        <f t="shared" si="130"/>
        <v>0.48297699744416001</v>
      </c>
      <c r="V226" s="55">
        <f t="shared" si="112"/>
        <v>22029.552</v>
      </c>
      <c r="W226" s="56">
        <v>0.02</v>
      </c>
      <c r="X226" s="55">
        <v>143</v>
      </c>
      <c r="Y226" s="52">
        <f t="shared" si="127"/>
        <v>257400</v>
      </c>
      <c r="Z226" s="56">
        <f t="shared" si="136"/>
        <v>0.23368609584071401</v>
      </c>
      <c r="AA226" s="52">
        <f>10.13*I226*L226</f>
        <v>123991.2</v>
      </c>
      <c r="AB226" s="56">
        <f>AA226/M226</f>
        <v>0.11256806311812401</v>
      </c>
      <c r="AC226" s="52">
        <f t="shared" si="133"/>
        <v>44059.103999999999</v>
      </c>
      <c r="AD226" s="57">
        <f t="shared" si="135"/>
        <v>0.04</v>
      </c>
      <c r="AE226" s="52">
        <v>0</v>
      </c>
      <c r="AF226" s="57">
        <f>AE226/M226</f>
        <v>0</v>
      </c>
      <c r="AG226" s="52">
        <f t="shared" si="113"/>
        <v>84508.487999999998</v>
      </c>
      <c r="AH226" s="54">
        <f t="shared" si="114"/>
        <v>7.6722838485321895E-2</v>
      </c>
    </row>
    <row r="227" spans="1:39" s="2" customFormat="1" ht="21" hidden="1" customHeight="1">
      <c r="A227" s="49" t="s">
        <v>32</v>
      </c>
      <c r="B227" s="49" t="s">
        <v>46</v>
      </c>
      <c r="C227" s="59">
        <v>12</v>
      </c>
      <c r="D227" s="60" t="s">
        <v>54</v>
      </c>
      <c r="E227" s="60" t="s">
        <v>42</v>
      </c>
      <c r="F227" s="60" t="s">
        <v>36</v>
      </c>
      <c r="G227" s="60"/>
      <c r="H227" s="60" t="s">
        <v>37</v>
      </c>
      <c r="I227" s="51">
        <v>800</v>
      </c>
      <c r="J227" s="52">
        <v>109.99</v>
      </c>
      <c r="K227" s="52">
        <f t="shared" si="124"/>
        <v>747.93200000000002</v>
      </c>
      <c r="L227" s="53">
        <v>6.8</v>
      </c>
      <c r="M227" s="52">
        <f t="shared" si="109"/>
        <v>598345.6</v>
      </c>
      <c r="N227" s="54">
        <v>0.03</v>
      </c>
      <c r="O227" s="55">
        <v>20.149999999999999</v>
      </c>
      <c r="P227" s="52">
        <f t="shared" si="128"/>
        <v>217318.20800000001</v>
      </c>
      <c r="Q227" s="56">
        <f t="shared" si="129"/>
        <v>0.36319847258841698</v>
      </c>
      <c r="R227" s="52">
        <f t="shared" si="110"/>
        <v>89751.84</v>
      </c>
      <c r="S227" s="56">
        <v>0.15</v>
      </c>
      <c r="T227" s="52">
        <f t="shared" si="111"/>
        <v>291275.55200000003</v>
      </c>
      <c r="U227" s="56">
        <f t="shared" si="130"/>
        <v>0.486801527411583</v>
      </c>
      <c r="V227" s="55">
        <f t="shared" si="112"/>
        <v>11966.912</v>
      </c>
      <c r="W227" s="56">
        <v>0.02</v>
      </c>
      <c r="X227" s="55">
        <v>148</v>
      </c>
      <c r="Y227" s="52">
        <f t="shared" si="127"/>
        <v>118400</v>
      </c>
      <c r="Z227" s="56">
        <f t="shared" si="136"/>
        <v>0.19787895156244201</v>
      </c>
      <c r="AA227" s="52">
        <f>1.11*I227*L227</f>
        <v>6038.4</v>
      </c>
      <c r="AB227" s="56">
        <f>AA227/M227</f>
        <v>1.0091826529684499E-2</v>
      </c>
      <c r="AC227" s="52">
        <f t="shared" si="133"/>
        <v>23933.824000000001</v>
      </c>
      <c r="AD227" s="57">
        <f t="shared" si="135"/>
        <v>0.04</v>
      </c>
      <c r="AE227" s="52">
        <v>0</v>
      </c>
      <c r="AF227" s="57">
        <f>AE227/M227</f>
        <v>0</v>
      </c>
      <c r="AG227" s="52">
        <f t="shared" si="113"/>
        <v>130936.416</v>
      </c>
      <c r="AH227" s="54">
        <f t="shared" si="114"/>
        <v>0.21883074931945701</v>
      </c>
    </row>
    <row r="228" spans="1:39" s="1" customFormat="1" ht="21" hidden="1" customHeight="1">
      <c r="A228" s="49" t="s">
        <v>32</v>
      </c>
      <c r="B228" s="49" t="s">
        <v>46</v>
      </c>
      <c r="C228" s="59">
        <v>12</v>
      </c>
      <c r="D228" s="60" t="s">
        <v>55</v>
      </c>
      <c r="E228" s="60" t="s">
        <v>42</v>
      </c>
      <c r="F228" s="60" t="s">
        <v>36</v>
      </c>
      <c r="G228" s="60"/>
      <c r="H228" s="60" t="s">
        <v>37</v>
      </c>
      <c r="I228" s="51">
        <v>900</v>
      </c>
      <c r="J228" s="52">
        <v>129.99</v>
      </c>
      <c r="K228" s="52">
        <f t="shared" si="124"/>
        <v>883.93200000000002</v>
      </c>
      <c r="L228" s="53">
        <v>6.8</v>
      </c>
      <c r="M228" s="52">
        <f t="shared" si="109"/>
        <v>795538.8</v>
      </c>
      <c r="N228" s="54">
        <v>0.03</v>
      </c>
      <c r="O228" s="55">
        <v>20.53</v>
      </c>
      <c r="P228" s="52">
        <f t="shared" si="128"/>
        <v>268840.58399999997</v>
      </c>
      <c r="Q228" s="56">
        <f t="shared" si="129"/>
        <v>0.33793522578659901</v>
      </c>
      <c r="R228" s="52">
        <f t="shared" si="110"/>
        <v>119330.82</v>
      </c>
      <c r="S228" s="56">
        <v>0.15</v>
      </c>
      <c r="T228" s="52">
        <f t="shared" si="111"/>
        <v>407367.39600000001</v>
      </c>
      <c r="U228" s="56">
        <f t="shared" si="130"/>
        <v>0.51206477421340102</v>
      </c>
      <c r="V228" s="55">
        <f t="shared" si="112"/>
        <v>15910.776</v>
      </c>
      <c r="W228" s="56">
        <v>0.02</v>
      </c>
      <c r="X228" s="55">
        <v>165</v>
      </c>
      <c r="Y228" s="52">
        <f t="shared" si="127"/>
        <v>148500</v>
      </c>
      <c r="Z228" s="56">
        <f t="shared" si="136"/>
        <v>0.18666594262907099</v>
      </c>
      <c r="AA228" s="52">
        <f>M228*AB228</f>
        <v>63643.103999999999</v>
      </c>
      <c r="AB228" s="56">
        <v>0.08</v>
      </c>
      <c r="AC228" s="52">
        <f t="shared" si="133"/>
        <v>31821.552</v>
      </c>
      <c r="AD228" s="57">
        <f t="shared" si="135"/>
        <v>0.04</v>
      </c>
      <c r="AE228" s="52">
        <v>0</v>
      </c>
      <c r="AF228" s="57">
        <f>AE228/M228</f>
        <v>0</v>
      </c>
      <c r="AG228" s="52">
        <f t="shared" si="113"/>
        <v>147491.96400000001</v>
      </c>
      <c r="AH228" s="54">
        <f t="shared" si="114"/>
        <v>0.18539883158432999</v>
      </c>
      <c r="AI228" s="13"/>
      <c r="AJ228" s="13"/>
      <c r="AK228" s="13"/>
      <c r="AL228" s="13"/>
      <c r="AM228" s="13"/>
    </row>
    <row r="229" spans="1:39" s="2" customFormat="1" ht="21" hidden="1" customHeight="1">
      <c r="A229" s="49" t="s">
        <v>32</v>
      </c>
      <c r="B229" s="50" t="s">
        <v>84</v>
      </c>
      <c r="C229" s="59">
        <v>12</v>
      </c>
      <c r="D229" s="60" t="s">
        <v>96</v>
      </c>
      <c r="E229" s="60" t="s">
        <v>75</v>
      </c>
      <c r="F229" s="60" t="s">
        <v>79</v>
      </c>
      <c r="G229" s="60"/>
      <c r="H229" s="60" t="s">
        <v>43</v>
      </c>
      <c r="I229" s="51">
        <v>360</v>
      </c>
      <c r="J229" s="52">
        <v>89.99</v>
      </c>
      <c r="K229" s="52">
        <f t="shared" si="124"/>
        <v>611.93200000000002</v>
      </c>
      <c r="L229" s="53">
        <v>6.8</v>
      </c>
      <c r="M229" s="52">
        <f t="shared" si="109"/>
        <v>220295.52</v>
      </c>
      <c r="N229" s="54">
        <v>0.14000000000000001</v>
      </c>
      <c r="O229" s="55">
        <v>11</v>
      </c>
      <c r="P229" s="52">
        <f t="shared" si="128"/>
        <v>90813.700800000006</v>
      </c>
      <c r="Q229" s="56">
        <f t="shared" si="129"/>
        <v>0.41223580397822002</v>
      </c>
      <c r="R229" s="52">
        <f t="shared" si="110"/>
        <v>26435.4624</v>
      </c>
      <c r="S229" s="56">
        <v>0.12</v>
      </c>
      <c r="T229" s="52">
        <f t="shared" si="111"/>
        <v>103046.35679999999</v>
      </c>
      <c r="U229" s="56">
        <f t="shared" si="130"/>
        <v>0.46776419602177999</v>
      </c>
      <c r="V229" s="55">
        <f t="shared" si="112"/>
        <v>6608.8656000000001</v>
      </c>
      <c r="W229" s="56">
        <v>0.03</v>
      </c>
      <c r="X229" s="55">
        <v>130.30000000000001</v>
      </c>
      <c r="Y229" s="52">
        <f t="shared" si="127"/>
        <v>46908</v>
      </c>
      <c r="Z229" s="56">
        <f t="shared" si="136"/>
        <v>0.212932155860455</v>
      </c>
      <c r="AA229" s="52">
        <f>5*I229*L229</f>
        <v>12240</v>
      </c>
      <c r="AB229" s="56">
        <f>AA229/M229</f>
        <v>5.5561729081009002E-2</v>
      </c>
      <c r="AC229" s="52">
        <f t="shared" si="133"/>
        <v>8811.8207999999995</v>
      </c>
      <c r="AD229" s="57">
        <f t="shared" si="135"/>
        <v>0.04</v>
      </c>
      <c r="AE229" s="52">
        <v>0</v>
      </c>
      <c r="AF229" s="57">
        <v>0</v>
      </c>
      <c r="AG229" s="52">
        <f t="shared" si="113"/>
        <v>28477.670399999999</v>
      </c>
      <c r="AH229" s="54">
        <f t="shared" si="114"/>
        <v>0.129270311080316</v>
      </c>
    </row>
    <row r="230" spans="1:39" s="2" customFormat="1" ht="21" hidden="1" customHeight="1">
      <c r="A230" s="49" t="s">
        <v>32</v>
      </c>
      <c r="B230" s="50" t="s">
        <v>84</v>
      </c>
      <c r="C230" s="59">
        <v>12</v>
      </c>
      <c r="D230" s="60" t="s">
        <v>97</v>
      </c>
      <c r="E230" s="60" t="s">
        <v>75</v>
      </c>
      <c r="F230" s="60" t="s">
        <v>79</v>
      </c>
      <c r="G230" s="60"/>
      <c r="H230" s="60" t="s">
        <v>43</v>
      </c>
      <c r="I230" s="51">
        <v>360</v>
      </c>
      <c r="J230" s="52">
        <v>139.99</v>
      </c>
      <c r="K230" s="52">
        <f t="shared" si="124"/>
        <v>951.93200000000002</v>
      </c>
      <c r="L230" s="53">
        <v>6.8</v>
      </c>
      <c r="M230" s="52">
        <f t="shared" si="109"/>
        <v>342695.52</v>
      </c>
      <c r="N230" s="54">
        <v>0.15</v>
      </c>
      <c r="O230" s="55">
        <v>19.2</v>
      </c>
      <c r="P230" s="52">
        <f t="shared" si="128"/>
        <v>149810.25599999999</v>
      </c>
      <c r="Q230" s="56">
        <f t="shared" si="129"/>
        <v>0.437152653760983</v>
      </c>
      <c r="R230" s="52">
        <f t="shared" si="110"/>
        <v>34269.552000000003</v>
      </c>
      <c r="S230" s="56">
        <v>0.1</v>
      </c>
      <c r="T230" s="52">
        <f t="shared" si="111"/>
        <v>158615.712</v>
      </c>
      <c r="U230" s="56">
        <f t="shared" si="130"/>
        <v>0.46284734623901702</v>
      </c>
      <c r="V230" s="55">
        <f t="shared" si="112"/>
        <v>6853.9103999999998</v>
      </c>
      <c r="W230" s="56">
        <v>0.02</v>
      </c>
      <c r="X230" s="55">
        <v>180</v>
      </c>
      <c r="Y230" s="52">
        <f t="shared" si="127"/>
        <v>64800</v>
      </c>
      <c r="Z230" s="56">
        <f t="shared" si="136"/>
        <v>0.18908913661900201</v>
      </c>
      <c r="AA230" s="52">
        <f>6.5*I230*L230</f>
        <v>15912</v>
      </c>
      <c r="AB230" s="56">
        <f>AA230/M230</f>
        <v>4.6431887991999397E-2</v>
      </c>
      <c r="AC230" s="52">
        <f t="shared" si="133"/>
        <v>13707.8208</v>
      </c>
      <c r="AD230" s="57">
        <f t="shared" si="135"/>
        <v>0.04</v>
      </c>
      <c r="AE230" s="52">
        <v>0</v>
      </c>
      <c r="AF230" s="57">
        <f>AE230/M230</f>
        <v>0</v>
      </c>
      <c r="AG230" s="52">
        <f t="shared" si="113"/>
        <v>57341.980799999998</v>
      </c>
      <c r="AH230" s="54">
        <f t="shared" si="114"/>
        <v>0.167326321628016</v>
      </c>
    </row>
    <row r="231" spans="1:39" s="2" customFormat="1" ht="21" hidden="1" customHeight="1">
      <c r="A231" s="49" t="s">
        <v>32</v>
      </c>
      <c r="B231" s="50" t="s">
        <v>84</v>
      </c>
      <c r="C231" s="59">
        <v>12</v>
      </c>
      <c r="D231" s="60" t="s">
        <v>98</v>
      </c>
      <c r="E231" s="60" t="s">
        <v>75</v>
      </c>
      <c r="F231" s="60" t="s">
        <v>79</v>
      </c>
      <c r="G231" s="60"/>
      <c r="H231" s="60" t="s">
        <v>43</v>
      </c>
      <c r="I231" s="51">
        <v>180</v>
      </c>
      <c r="J231" s="52">
        <v>149.99</v>
      </c>
      <c r="K231" s="52">
        <f t="shared" si="124"/>
        <v>1019.932</v>
      </c>
      <c r="L231" s="53">
        <v>6.8</v>
      </c>
      <c r="M231" s="52">
        <f t="shared" si="109"/>
        <v>183587.76</v>
      </c>
      <c r="N231" s="54">
        <v>0.14000000000000001</v>
      </c>
      <c r="O231" s="55">
        <v>19.2</v>
      </c>
      <c r="P231" s="52">
        <f t="shared" si="128"/>
        <v>76741.250400000004</v>
      </c>
      <c r="Q231" s="56">
        <f t="shared" si="129"/>
        <v>0.41800853390226</v>
      </c>
      <c r="R231" s="52">
        <f t="shared" si="110"/>
        <v>22030.531200000001</v>
      </c>
      <c r="S231" s="56">
        <v>0.12</v>
      </c>
      <c r="T231" s="52">
        <f t="shared" si="111"/>
        <v>84815.978400000007</v>
      </c>
      <c r="U231" s="56">
        <f t="shared" si="130"/>
        <v>0.46199146609774</v>
      </c>
      <c r="V231" s="55">
        <f t="shared" si="112"/>
        <v>3671.7552000000001</v>
      </c>
      <c r="W231" s="56">
        <v>0.02</v>
      </c>
      <c r="X231" s="55">
        <v>190</v>
      </c>
      <c r="Y231" s="52">
        <f t="shared" si="127"/>
        <v>34200</v>
      </c>
      <c r="Z231" s="56">
        <f t="shared" si="136"/>
        <v>0.186286928932517</v>
      </c>
      <c r="AA231" s="52">
        <f>7.5*I231*L231</f>
        <v>9180</v>
      </c>
      <c r="AB231" s="56">
        <f>AA231/M231</f>
        <v>5.0003333555570399E-2</v>
      </c>
      <c r="AC231" s="52">
        <f t="shared" si="133"/>
        <v>7343.5104000000001</v>
      </c>
      <c r="AD231" s="57">
        <f t="shared" si="135"/>
        <v>0.04</v>
      </c>
      <c r="AE231" s="52">
        <v>0</v>
      </c>
      <c r="AF231" s="57">
        <v>0</v>
      </c>
      <c r="AG231" s="52">
        <f t="shared" si="113"/>
        <v>30420.712800000001</v>
      </c>
      <c r="AH231" s="54">
        <f t="shared" si="114"/>
        <v>0.16570120360965199</v>
      </c>
    </row>
    <row r="232" spans="1:39" s="1" customFormat="1" ht="21" hidden="1" customHeight="1">
      <c r="A232" s="50" t="s">
        <v>32</v>
      </c>
      <c r="B232" s="59" t="s">
        <v>77</v>
      </c>
      <c r="C232" s="59">
        <v>12</v>
      </c>
      <c r="D232" s="50" t="s">
        <v>80</v>
      </c>
      <c r="E232" s="50" t="s">
        <v>75</v>
      </c>
      <c r="F232" s="50" t="s">
        <v>79</v>
      </c>
      <c r="G232" s="50"/>
      <c r="H232" s="50" t="s">
        <v>37</v>
      </c>
      <c r="I232" s="51">
        <v>700</v>
      </c>
      <c r="J232" s="52">
        <v>69.989999999999995</v>
      </c>
      <c r="K232" s="52">
        <f t="shared" si="124"/>
        <v>475.93200000000002</v>
      </c>
      <c r="L232" s="53">
        <v>6.8</v>
      </c>
      <c r="M232" s="52">
        <f t="shared" si="109"/>
        <v>333152.40000000002</v>
      </c>
      <c r="N232" s="54">
        <v>0.14000000000000001</v>
      </c>
      <c r="O232" s="55">
        <v>8.6</v>
      </c>
      <c r="P232" s="52">
        <f t="shared" si="128"/>
        <v>137550.196</v>
      </c>
      <c r="Q232" s="56">
        <f t="shared" si="129"/>
        <v>0.41287469638519803</v>
      </c>
      <c r="R232" s="52">
        <f t="shared" si="110"/>
        <v>49972.86</v>
      </c>
      <c r="S232" s="56">
        <v>0.15</v>
      </c>
      <c r="T232" s="52">
        <f t="shared" si="111"/>
        <v>145629.34400000001</v>
      </c>
      <c r="U232" s="56">
        <f t="shared" si="130"/>
        <v>0.43712530361480201</v>
      </c>
      <c r="V232" s="52">
        <f t="shared" si="112"/>
        <v>9994.5720000000001</v>
      </c>
      <c r="W232" s="56">
        <v>0.03</v>
      </c>
      <c r="X232" s="55">
        <v>145</v>
      </c>
      <c r="Y232" s="52">
        <f t="shared" si="127"/>
        <v>101500</v>
      </c>
      <c r="Z232" s="56">
        <f t="shared" si="136"/>
        <v>0.304665372364119</v>
      </c>
      <c r="AA232" s="52">
        <f>M232*AB232</f>
        <v>13326.096</v>
      </c>
      <c r="AB232" s="56">
        <v>0.04</v>
      </c>
      <c r="AC232" s="52">
        <f>M232*0.02</f>
        <v>6663.0479999999998</v>
      </c>
      <c r="AD232" s="57">
        <v>0.02</v>
      </c>
      <c r="AE232" s="52">
        <v>0</v>
      </c>
      <c r="AF232" s="57">
        <v>0</v>
      </c>
      <c r="AG232" s="52">
        <f t="shared" si="113"/>
        <v>14145.628000000101</v>
      </c>
      <c r="AH232" s="54">
        <f t="shared" si="114"/>
        <v>4.2459931250683002E-2</v>
      </c>
    </row>
    <row r="233" spans="1:39" s="2" customFormat="1" ht="21" hidden="1" customHeight="1">
      <c r="A233" s="50" t="s">
        <v>32</v>
      </c>
      <c r="B233" s="59" t="s">
        <v>81</v>
      </c>
      <c r="C233" s="59">
        <v>12</v>
      </c>
      <c r="D233" s="50" t="s">
        <v>83</v>
      </c>
      <c r="E233" s="50" t="s">
        <v>75</v>
      </c>
      <c r="F233" s="50" t="s">
        <v>79</v>
      </c>
      <c r="G233" s="50"/>
      <c r="H233" s="50" t="s">
        <v>43</v>
      </c>
      <c r="I233" s="51">
        <v>330</v>
      </c>
      <c r="J233" s="52">
        <v>129.99</v>
      </c>
      <c r="K233" s="52">
        <f t="shared" si="124"/>
        <v>883.93200000000002</v>
      </c>
      <c r="L233" s="53">
        <v>6.8</v>
      </c>
      <c r="M233" s="52">
        <f t="shared" si="109"/>
        <v>291697.56</v>
      </c>
      <c r="N233" s="54">
        <v>0.14000000000000001</v>
      </c>
      <c r="O233" s="55">
        <v>16.72</v>
      </c>
      <c r="P233" s="52">
        <f t="shared" si="128"/>
        <v>122111.9724</v>
      </c>
      <c r="Q233" s="56">
        <f t="shared" si="129"/>
        <v>0.41862527886760498</v>
      </c>
      <c r="R233" s="52">
        <f t="shared" si="110"/>
        <v>43754.633999999998</v>
      </c>
      <c r="S233" s="56">
        <v>0.15</v>
      </c>
      <c r="T233" s="52">
        <f t="shared" si="111"/>
        <v>125830.95359999999</v>
      </c>
      <c r="U233" s="56">
        <f t="shared" si="130"/>
        <v>0.431374721132395</v>
      </c>
      <c r="V233" s="52">
        <f t="shared" si="112"/>
        <v>8750.9267999999993</v>
      </c>
      <c r="W233" s="56">
        <v>0.03</v>
      </c>
      <c r="X233" s="55">
        <v>200</v>
      </c>
      <c r="Y233" s="52">
        <f t="shared" si="127"/>
        <v>66000</v>
      </c>
      <c r="Z233" s="56">
        <f t="shared" si="136"/>
        <v>0.226261748641298</v>
      </c>
      <c r="AA233" s="52">
        <f>6.2*I233*L233</f>
        <v>13912.8</v>
      </c>
      <c r="AB233" s="56">
        <f>AA233/M233</f>
        <v>4.7695976613585697E-2</v>
      </c>
      <c r="AC233" s="52">
        <f>M233*0.03</f>
        <v>8750.9267999999993</v>
      </c>
      <c r="AD233" s="57">
        <v>0.03</v>
      </c>
      <c r="AE233" s="52">
        <v>0</v>
      </c>
      <c r="AF233" s="57">
        <v>0</v>
      </c>
      <c r="AG233" s="52">
        <f t="shared" si="113"/>
        <v>28416.3</v>
      </c>
      <c r="AH233" s="54">
        <f t="shared" si="114"/>
        <v>9.7416995877510904E-2</v>
      </c>
    </row>
    <row r="234" spans="1:39" s="2" customFormat="1" ht="21" hidden="1" customHeight="1">
      <c r="A234" s="50" t="s">
        <v>32</v>
      </c>
      <c r="B234" s="59" t="s">
        <v>81</v>
      </c>
      <c r="C234" s="59">
        <v>12</v>
      </c>
      <c r="D234" s="50" t="s">
        <v>92</v>
      </c>
      <c r="E234" s="50" t="s">
        <v>75</v>
      </c>
      <c r="F234" s="50" t="s">
        <v>79</v>
      </c>
      <c r="G234" s="50"/>
      <c r="H234" s="50" t="s">
        <v>43</v>
      </c>
      <c r="I234" s="51">
        <v>150</v>
      </c>
      <c r="J234" s="52">
        <v>144.99</v>
      </c>
      <c r="K234" s="52">
        <f t="shared" si="124"/>
        <v>985.93200000000002</v>
      </c>
      <c r="L234" s="53">
        <v>6.8</v>
      </c>
      <c r="M234" s="52">
        <f t="shared" si="109"/>
        <v>147889.79999999999</v>
      </c>
      <c r="N234" s="54">
        <v>0.14000000000000001</v>
      </c>
      <c r="O234" s="55">
        <v>16.72</v>
      </c>
      <c r="P234" s="52">
        <f t="shared" si="128"/>
        <v>59942.442000000003</v>
      </c>
      <c r="Q234" s="56">
        <f t="shared" si="129"/>
        <v>0.40531829781364198</v>
      </c>
      <c r="R234" s="52">
        <f t="shared" si="110"/>
        <v>22183.47</v>
      </c>
      <c r="S234" s="56">
        <v>0.15</v>
      </c>
      <c r="T234" s="52">
        <f t="shared" si="111"/>
        <v>65763.888000000006</v>
      </c>
      <c r="U234" s="56">
        <f t="shared" si="130"/>
        <v>0.444681702186358</v>
      </c>
      <c r="V234" s="52">
        <f t="shared" si="112"/>
        <v>4436.6940000000004</v>
      </c>
      <c r="W234" s="56">
        <v>0.03</v>
      </c>
      <c r="X234" s="55">
        <v>225</v>
      </c>
      <c r="Y234" s="52">
        <f t="shared" si="127"/>
        <v>33750</v>
      </c>
      <c r="Z234" s="56">
        <f t="shared" si="136"/>
        <v>0.228210464819075</v>
      </c>
      <c r="AA234" s="52">
        <f>6.2*I234*L234</f>
        <v>6324</v>
      </c>
      <c r="AB234" s="56">
        <f>AA234/M234</f>
        <v>4.2761569763431997E-2</v>
      </c>
      <c r="AC234" s="52">
        <f>M234*0.03</f>
        <v>4436.6940000000004</v>
      </c>
      <c r="AD234" s="57">
        <v>0.03</v>
      </c>
      <c r="AE234" s="52">
        <v>0</v>
      </c>
      <c r="AF234" s="57">
        <v>0</v>
      </c>
      <c r="AG234" s="52">
        <f t="shared" si="113"/>
        <v>16816.5</v>
      </c>
      <c r="AH234" s="54">
        <f t="shared" si="114"/>
        <v>0.113709667603851</v>
      </c>
    </row>
    <row r="235" spans="1:39" s="1" customFormat="1" ht="21" hidden="1" customHeight="1">
      <c r="A235" s="49" t="s">
        <v>32</v>
      </c>
      <c r="B235" s="49" t="s">
        <v>84</v>
      </c>
      <c r="C235" s="59">
        <v>12</v>
      </c>
      <c r="D235" s="60" t="s">
        <v>85</v>
      </c>
      <c r="E235" s="60" t="s">
        <v>75</v>
      </c>
      <c r="F235" s="60" t="s">
        <v>36</v>
      </c>
      <c r="G235" s="60"/>
      <c r="H235" s="60" t="s">
        <v>70</v>
      </c>
      <c r="I235" s="51">
        <v>100</v>
      </c>
      <c r="J235" s="52">
        <v>33.99</v>
      </c>
      <c r="K235" s="52">
        <v>251.93</v>
      </c>
      <c r="L235" s="53">
        <v>6.8</v>
      </c>
      <c r="M235" s="52">
        <f t="shared" si="109"/>
        <v>25193</v>
      </c>
      <c r="N235" s="54">
        <v>0.04</v>
      </c>
      <c r="O235" s="55">
        <v>11.47</v>
      </c>
      <c r="P235" s="52">
        <f t="shared" si="128"/>
        <v>12274.3</v>
      </c>
      <c r="Q235" s="56">
        <v>0.32528440439804701</v>
      </c>
      <c r="R235" s="52">
        <f t="shared" si="110"/>
        <v>3778.95</v>
      </c>
      <c r="S235" s="56">
        <v>0.15</v>
      </c>
      <c r="T235" s="52">
        <f t="shared" si="111"/>
        <v>9139.75</v>
      </c>
      <c r="U235" s="56">
        <f t="shared" si="130"/>
        <v>0.36278926685984197</v>
      </c>
      <c r="V235" s="52">
        <f t="shared" si="112"/>
        <v>755.79</v>
      </c>
      <c r="W235" s="56">
        <v>0.03</v>
      </c>
      <c r="X235" s="55">
        <v>45.7</v>
      </c>
      <c r="Y235" s="52">
        <f t="shared" si="127"/>
        <v>4570</v>
      </c>
      <c r="Z235" s="56">
        <v>0.26</v>
      </c>
      <c r="AA235" s="52">
        <f>0.4*I235*L235</f>
        <v>272</v>
      </c>
      <c r="AB235" s="56">
        <f>AA235/M235</f>
        <v>1.0796649863057201E-2</v>
      </c>
      <c r="AC235" s="52">
        <f>M235*0.03</f>
        <v>755.79</v>
      </c>
      <c r="AD235" s="57">
        <v>0.03</v>
      </c>
      <c r="AE235" s="52">
        <v>0</v>
      </c>
      <c r="AF235" s="57">
        <v>0</v>
      </c>
      <c r="AG235" s="52">
        <f t="shared" si="113"/>
        <v>2786.17</v>
      </c>
      <c r="AH235" s="54">
        <f t="shared" si="114"/>
        <v>0.110593021871155</v>
      </c>
      <c r="AI235" s="13"/>
      <c r="AJ235" s="13"/>
      <c r="AK235" s="13"/>
      <c r="AL235" s="13"/>
      <c r="AM235" s="13"/>
    </row>
    <row r="236" spans="1:39" s="1" customFormat="1" ht="21" hidden="1" customHeight="1">
      <c r="A236" s="49" t="s">
        <v>32</v>
      </c>
      <c r="B236" s="49" t="s">
        <v>84</v>
      </c>
      <c r="C236" s="59">
        <v>12</v>
      </c>
      <c r="D236" s="60" t="s">
        <v>86</v>
      </c>
      <c r="E236" s="60" t="s">
        <v>75</v>
      </c>
      <c r="F236" s="60" t="s">
        <v>36</v>
      </c>
      <c r="G236" s="60"/>
      <c r="H236" s="60" t="s">
        <v>70</v>
      </c>
      <c r="I236" s="51">
        <v>50</v>
      </c>
      <c r="J236" s="52">
        <v>37.99</v>
      </c>
      <c r="K236" s="52">
        <v>251.93</v>
      </c>
      <c r="L236" s="53">
        <v>6.8</v>
      </c>
      <c r="M236" s="52">
        <f t="shared" si="109"/>
        <v>12596.5</v>
      </c>
      <c r="N236" s="54">
        <v>0.04</v>
      </c>
      <c r="O236" s="55">
        <v>11.47</v>
      </c>
      <c r="P236" s="52">
        <f t="shared" si="128"/>
        <v>6341.15</v>
      </c>
      <c r="Q236" s="56">
        <v>0.32528440439804701</v>
      </c>
      <c r="R236" s="52">
        <f t="shared" si="110"/>
        <v>1889.4749999999999</v>
      </c>
      <c r="S236" s="56">
        <v>0.15</v>
      </c>
      <c r="T236" s="52">
        <f t="shared" si="111"/>
        <v>4365.875</v>
      </c>
      <c r="U236" s="56">
        <f t="shared" si="130"/>
        <v>0.34659429206525599</v>
      </c>
      <c r="V236" s="52">
        <f t="shared" si="112"/>
        <v>377.89499999999998</v>
      </c>
      <c r="W236" s="56">
        <v>0.03</v>
      </c>
      <c r="X236" s="55">
        <v>56.9</v>
      </c>
      <c r="Y236" s="52">
        <f t="shared" si="127"/>
        <v>2845</v>
      </c>
      <c r="Z236" s="56">
        <v>0.26</v>
      </c>
      <c r="AA236" s="52">
        <f>0.6*I236*L236</f>
        <v>204</v>
      </c>
      <c r="AB236" s="56">
        <f>AA236/M236</f>
        <v>1.6194974794585801E-2</v>
      </c>
      <c r="AC236" s="52">
        <f>M236*0.03</f>
        <v>377.89499999999998</v>
      </c>
      <c r="AD236" s="57">
        <v>0.03</v>
      </c>
      <c r="AE236" s="52">
        <v>0</v>
      </c>
      <c r="AF236" s="57">
        <v>0</v>
      </c>
      <c r="AG236" s="52">
        <f t="shared" si="113"/>
        <v>561.08500000000004</v>
      </c>
      <c r="AH236" s="54">
        <f t="shared" si="114"/>
        <v>4.4542928591275399E-2</v>
      </c>
      <c r="AI236" s="13"/>
      <c r="AJ236" s="13"/>
      <c r="AK236" s="13"/>
      <c r="AL236" s="13"/>
      <c r="AM236" s="13"/>
    </row>
    <row r="237" spans="1:39" s="1" customFormat="1" ht="21" hidden="1" customHeight="1">
      <c r="A237" s="29" t="s">
        <v>56</v>
      </c>
      <c r="B237" s="80" t="s">
        <v>57</v>
      </c>
      <c r="C237" s="94">
        <v>12</v>
      </c>
      <c r="D237" s="94" t="s">
        <v>58</v>
      </c>
      <c r="E237" s="94" t="s">
        <v>35</v>
      </c>
      <c r="F237" s="94" t="s">
        <v>36</v>
      </c>
      <c r="G237" s="94"/>
      <c r="H237" s="94" t="s">
        <v>43</v>
      </c>
      <c r="I237" s="65">
        <v>1000</v>
      </c>
      <c r="J237" s="66">
        <v>89.99</v>
      </c>
      <c r="K237" s="66">
        <f t="shared" ref="K237:K248" si="137">J237*L237</f>
        <v>719.92</v>
      </c>
      <c r="L237" s="19">
        <v>8</v>
      </c>
      <c r="M237" s="66">
        <f t="shared" si="109"/>
        <v>719920</v>
      </c>
      <c r="N237" s="67">
        <v>0.08</v>
      </c>
      <c r="O237" s="68">
        <v>5.87</v>
      </c>
      <c r="P237" s="66">
        <f t="shared" si="128"/>
        <v>212541.6</v>
      </c>
      <c r="Q237" s="23">
        <f t="shared" ref="Q237:Q244" si="138">P237/M237</f>
        <v>0.29522946994110499</v>
      </c>
      <c r="R237" s="66">
        <f t="shared" si="110"/>
        <v>57593.599999999999</v>
      </c>
      <c r="S237" s="23">
        <v>0.08</v>
      </c>
      <c r="T237" s="18">
        <f t="shared" si="111"/>
        <v>449784.8</v>
      </c>
      <c r="U237" s="22">
        <f t="shared" si="130"/>
        <v>0.62477053005889505</v>
      </c>
      <c r="V237" s="66">
        <f t="shared" si="112"/>
        <v>0</v>
      </c>
      <c r="W237" s="23">
        <v>0</v>
      </c>
      <c r="X237" s="68">
        <v>171.5</v>
      </c>
      <c r="Y237" s="34">
        <f t="shared" si="127"/>
        <v>171500</v>
      </c>
      <c r="Z237" s="23">
        <f t="shared" ref="Z237:Z244" si="139">Y237/M237</f>
        <v>0.23822091343482599</v>
      </c>
      <c r="AA237" s="66">
        <f>M237*AB237</f>
        <v>35996</v>
      </c>
      <c r="AB237" s="37">
        <v>0.05</v>
      </c>
      <c r="AC237" s="18">
        <f>M237*AD237</f>
        <v>21597.599999999999</v>
      </c>
      <c r="AD237" s="69">
        <v>0.03</v>
      </c>
      <c r="AE237" s="66">
        <f>J237/1.19*0.19*I237*L237</f>
        <v>114945.210084034</v>
      </c>
      <c r="AF237" s="69">
        <f>AE237/M237</f>
        <v>0.159663865546219</v>
      </c>
      <c r="AG237" s="66">
        <f t="shared" si="113"/>
        <v>105745.989915966</v>
      </c>
      <c r="AH237" s="67">
        <f t="shared" si="114"/>
        <v>0.14688575107785001</v>
      </c>
      <c r="AI237" s="13"/>
      <c r="AJ237" s="13"/>
      <c r="AK237" s="13"/>
      <c r="AL237" s="13"/>
      <c r="AM237" s="13"/>
    </row>
    <row r="238" spans="1:39" s="1" customFormat="1" ht="21" hidden="1" customHeight="1">
      <c r="A238" s="29" t="s">
        <v>56</v>
      </c>
      <c r="B238" s="80" t="s">
        <v>57</v>
      </c>
      <c r="C238" s="94">
        <v>12</v>
      </c>
      <c r="D238" s="94" t="s">
        <v>71</v>
      </c>
      <c r="E238" s="94" t="s">
        <v>35</v>
      </c>
      <c r="F238" s="94" t="s">
        <v>36</v>
      </c>
      <c r="G238" s="94"/>
      <c r="H238" s="94" t="s">
        <v>43</v>
      </c>
      <c r="I238" s="65">
        <v>1000</v>
      </c>
      <c r="J238" s="66">
        <v>79.989999999999995</v>
      </c>
      <c r="K238" s="66">
        <f t="shared" si="137"/>
        <v>639.91999999999996</v>
      </c>
      <c r="L238" s="19">
        <v>8</v>
      </c>
      <c r="M238" s="66">
        <f t="shared" si="109"/>
        <v>639920</v>
      </c>
      <c r="N238" s="67">
        <v>0.15</v>
      </c>
      <c r="O238" s="68">
        <v>8.6</v>
      </c>
      <c r="P238" s="66">
        <f t="shared" si="128"/>
        <v>260776</v>
      </c>
      <c r="Q238" s="23">
        <f t="shared" si="138"/>
        <v>0.40751343917989702</v>
      </c>
      <c r="R238" s="66">
        <f t="shared" si="110"/>
        <v>51193.599999999999</v>
      </c>
      <c r="S238" s="23">
        <v>0.08</v>
      </c>
      <c r="T238" s="18">
        <f t="shared" si="111"/>
        <v>327950.40000000002</v>
      </c>
      <c r="U238" s="22">
        <f t="shared" si="130"/>
        <v>0.51248656082010302</v>
      </c>
      <c r="V238" s="66">
        <f t="shared" si="112"/>
        <v>0</v>
      </c>
      <c r="W238" s="23">
        <v>0</v>
      </c>
      <c r="X238" s="68">
        <v>142</v>
      </c>
      <c r="Y238" s="34">
        <f t="shared" si="127"/>
        <v>142000</v>
      </c>
      <c r="Z238" s="23">
        <f t="shared" si="139"/>
        <v>0.22190273784223</v>
      </c>
      <c r="AA238" s="66">
        <f>M238*AB238</f>
        <v>31996</v>
      </c>
      <c r="AB238" s="37">
        <v>0.05</v>
      </c>
      <c r="AC238" s="18">
        <f t="shared" ref="AC238:AC243" si="140">M238*0.04</f>
        <v>25596.799999999999</v>
      </c>
      <c r="AD238" s="69">
        <v>0.03</v>
      </c>
      <c r="AE238" s="66">
        <f>J238/1.19*0.19*I238*L238</f>
        <v>102172.100840336</v>
      </c>
      <c r="AF238" s="69">
        <f>AE238/M238</f>
        <v>0.159663865546218</v>
      </c>
      <c r="AG238" s="66">
        <f t="shared" si="113"/>
        <v>26185.499159663999</v>
      </c>
      <c r="AH238" s="67">
        <f t="shared" si="114"/>
        <v>4.0919957431653997E-2</v>
      </c>
      <c r="AI238" s="13"/>
      <c r="AJ238" s="13"/>
      <c r="AK238" s="13"/>
      <c r="AL238" s="13"/>
      <c r="AM238" s="13"/>
    </row>
    <row r="239" spans="1:39" s="2" customFormat="1" ht="21" hidden="1" customHeight="1">
      <c r="A239" s="29" t="s">
        <v>56</v>
      </c>
      <c r="B239" s="80" t="s">
        <v>64</v>
      </c>
      <c r="C239" s="94">
        <v>12</v>
      </c>
      <c r="D239" s="94" t="s">
        <v>66</v>
      </c>
      <c r="E239" s="94" t="s">
        <v>35</v>
      </c>
      <c r="F239" s="94" t="s">
        <v>36</v>
      </c>
      <c r="G239" s="94"/>
      <c r="H239" s="94" t="s">
        <v>43</v>
      </c>
      <c r="I239" s="65">
        <v>1000</v>
      </c>
      <c r="J239" s="66">
        <v>99.99</v>
      </c>
      <c r="K239" s="66">
        <f t="shared" si="137"/>
        <v>919.90800000000002</v>
      </c>
      <c r="L239" s="19">
        <v>9.1999999999999993</v>
      </c>
      <c r="M239" s="66">
        <f t="shared" si="109"/>
        <v>919908</v>
      </c>
      <c r="N239" s="67">
        <v>0.2</v>
      </c>
      <c r="O239" s="68">
        <v>6.45</v>
      </c>
      <c r="P239" s="66">
        <f t="shared" si="128"/>
        <v>381307.8</v>
      </c>
      <c r="Q239" s="23">
        <f t="shared" si="138"/>
        <v>0.41450645064506397</v>
      </c>
      <c r="R239" s="66">
        <f t="shared" si="110"/>
        <v>73592.639999999999</v>
      </c>
      <c r="S239" s="23">
        <v>0.08</v>
      </c>
      <c r="T239" s="18">
        <f t="shared" si="111"/>
        <v>465007.56</v>
      </c>
      <c r="U239" s="22">
        <f t="shared" si="130"/>
        <v>0.50549354935493496</v>
      </c>
      <c r="V239" s="66">
        <f t="shared" si="112"/>
        <v>0</v>
      </c>
      <c r="W239" s="23">
        <v>0</v>
      </c>
      <c r="X239" s="68">
        <v>170.5</v>
      </c>
      <c r="Y239" s="34">
        <f t="shared" si="127"/>
        <v>170500</v>
      </c>
      <c r="Z239" s="23">
        <f t="shared" si="139"/>
        <v>0.18534462141866401</v>
      </c>
      <c r="AA239" s="66">
        <f>10.13*I239*L239</f>
        <v>93196</v>
      </c>
      <c r="AB239" s="37">
        <v>0.05</v>
      </c>
      <c r="AC239" s="18">
        <f t="shared" si="140"/>
        <v>36796.32</v>
      </c>
      <c r="AD239" s="69">
        <v>0.03</v>
      </c>
      <c r="AE239" s="66">
        <f>(J239*(20%/(1+20%)))*I239*L239</f>
        <v>153318</v>
      </c>
      <c r="AF239" s="69">
        <f>AE239/M239</f>
        <v>0.16666666666666699</v>
      </c>
      <c r="AG239" s="66">
        <f t="shared" si="113"/>
        <v>11197.2399999999</v>
      </c>
      <c r="AH239" s="67">
        <f t="shared" si="114"/>
        <v>1.2172130256503801E-2</v>
      </c>
    </row>
    <row r="240" spans="1:39" s="2" customFormat="1" ht="21" hidden="1" customHeight="1">
      <c r="A240" s="29" t="s">
        <v>56</v>
      </c>
      <c r="B240" s="80" t="s">
        <v>72</v>
      </c>
      <c r="C240" s="94">
        <v>12</v>
      </c>
      <c r="D240" s="94" t="s">
        <v>73</v>
      </c>
      <c r="E240" s="94" t="s">
        <v>35</v>
      </c>
      <c r="F240" s="94" t="s">
        <v>36</v>
      </c>
      <c r="G240" s="94"/>
      <c r="H240" s="94" t="s">
        <v>43</v>
      </c>
      <c r="I240" s="65">
        <v>1000</v>
      </c>
      <c r="J240" s="66">
        <v>59.99</v>
      </c>
      <c r="K240" s="66">
        <f t="shared" si="137"/>
        <v>551.90800000000002</v>
      </c>
      <c r="L240" s="19">
        <v>9.1999999999999993</v>
      </c>
      <c r="M240" s="66">
        <f t="shared" si="109"/>
        <v>551908</v>
      </c>
      <c r="N240" s="67">
        <v>7.0000000000000007E-2</v>
      </c>
      <c r="O240" s="68">
        <v>6.11</v>
      </c>
      <c r="P240" s="66">
        <f>(J240*0.15*I240+O240*I240)*L240+J240*I240*N240</f>
        <v>143197.5</v>
      </c>
      <c r="Q240" s="23">
        <f t="shared" si="138"/>
        <v>0.25945900403690503</v>
      </c>
      <c r="R240" s="66">
        <f t="shared" si="110"/>
        <v>44152.639999999999</v>
      </c>
      <c r="S240" s="23">
        <v>0.08</v>
      </c>
      <c r="T240" s="18">
        <f t="shared" si="111"/>
        <v>364557.86</v>
      </c>
      <c r="U240" s="22">
        <f t="shared" si="130"/>
        <v>0.66054099596309501</v>
      </c>
      <c r="V240" s="34">
        <f t="shared" si="112"/>
        <v>0</v>
      </c>
      <c r="W240" s="23">
        <v>0</v>
      </c>
      <c r="X240" s="68">
        <v>142</v>
      </c>
      <c r="Y240" s="34">
        <f t="shared" si="127"/>
        <v>142000</v>
      </c>
      <c r="Z240" s="23">
        <f t="shared" si="139"/>
        <v>0.25728925835465299</v>
      </c>
      <c r="AA240" s="66">
        <f t="shared" ref="AA240:AA248" si="141">M240*AB240</f>
        <v>27595.4</v>
      </c>
      <c r="AB240" s="37">
        <v>0.05</v>
      </c>
      <c r="AC240" s="18">
        <f t="shared" si="140"/>
        <v>22076.32</v>
      </c>
      <c r="AD240" s="69">
        <v>0.03</v>
      </c>
      <c r="AE240" s="66">
        <f>(M240-M240*0.2)*0.2</f>
        <v>88305.279999999999</v>
      </c>
      <c r="AF240" s="69">
        <f>AE240/M240</f>
        <v>0.16</v>
      </c>
      <c r="AG240" s="66">
        <f t="shared" si="113"/>
        <v>84580.86</v>
      </c>
      <c r="AH240" s="67">
        <f t="shared" si="114"/>
        <v>0.15325173760844199</v>
      </c>
    </row>
    <row r="241" spans="1:39" s="1" customFormat="1" ht="21" hidden="1" customHeight="1">
      <c r="A241" s="29" t="s">
        <v>56</v>
      </c>
      <c r="B241" s="80" t="s">
        <v>59</v>
      </c>
      <c r="C241" s="94">
        <v>12</v>
      </c>
      <c r="D241" s="94" t="s">
        <v>60</v>
      </c>
      <c r="E241" s="94" t="s">
        <v>35</v>
      </c>
      <c r="F241" s="94" t="s">
        <v>36</v>
      </c>
      <c r="G241" s="94"/>
      <c r="H241" s="94" t="s">
        <v>43</v>
      </c>
      <c r="I241" s="65">
        <v>18000</v>
      </c>
      <c r="J241" s="66">
        <v>69.989999999999995</v>
      </c>
      <c r="K241" s="66">
        <f t="shared" si="137"/>
        <v>475.93200000000002</v>
      </c>
      <c r="L241" s="19">
        <v>6.8</v>
      </c>
      <c r="M241" s="66">
        <f t="shared" ref="M241:M248" si="142">I241*K241</f>
        <v>8566776</v>
      </c>
      <c r="N241" s="67">
        <v>0.08</v>
      </c>
      <c r="O241" s="68">
        <v>11.04</v>
      </c>
      <c r="P241" s="66">
        <f>(J241*0.15*I241+O241*I241)*L241+M241*N241</f>
        <v>3321654.48</v>
      </c>
      <c r="Q241" s="23">
        <f t="shared" si="138"/>
        <v>0.38773681954564898</v>
      </c>
      <c r="R241" s="66">
        <f t="shared" ref="R241:R248" si="143">M241*S241</f>
        <v>856677.6</v>
      </c>
      <c r="S241" s="23">
        <v>0.1</v>
      </c>
      <c r="T241" s="18">
        <f t="shared" ref="T241:T248" si="144">M241-P241-R241</f>
        <v>4388443.92</v>
      </c>
      <c r="U241" s="22">
        <f t="shared" si="130"/>
        <v>0.51226318045435104</v>
      </c>
      <c r="V241" s="66">
        <f t="shared" ref="V241:V248" si="145">M241*W241</f>
        <v>257003.28</v>
      </c>
      <c r="W241" s="23">
        <v>0.03</v>
      </c>
      <c r="X241" s="68">
        <v>142</v>
      </c>
      <c r="Y241" s="34">
        <f t="shared" si="127"/>
        <v>2556000</v>
      </c>
      <c r="Z241" s="23">
        <f t="shared" si="139"/>
        <v>0.29836195086693101</v>
      </c>
      <c r="AA241" s="66">
        <f t="shared" si="141"/>
        <v>514006.56</v>
      </c>
      <c r="AB241" s="37">
        <v>0.06</v>
      </c>
      <c r="AC241" s="18">
        <f t="shared" si="140"/>
        <v>342671.04</v>
      </c>
      <c r="AD241" s="69">
        <v>0.02</v>
      </c>
      <c r="AE241" s="66">
        <v>0</v>
      </c>
      <c r="AF241" s="69">
        <v>0</v>
      </c>
      <c r="AG241" s="66">
        <f t="shared" ref="AG241:AG248" si="146">T241-V241-Y241-AA241-AC241-AE241</f>
        <v>718763.04</v>
      </c>
      <c r="AH241" s="67">
        <f t="shared" ref="AH241:AH248" si="147">AG241/M241</f>
        <v>8.3901229587420106E-2</v>
      </c>
      <c r="AI241" s="13"/>
      <c r="AJ241" s="13"/>
      <c r="AK241" s="13"/>
      <c r="AL241" s="13"/>
      <c r="AM241" s="13"/>
    </row>
    <row r="242" spans="1:39" s="1" customFormat="1" ht="21" hidden="1" customHeight="1">
      <c r="A242" s="29" t="s">
        <v>56</v>
      </c>
      <c r="B242" s="80" t="s">
        <v>59</v>
      </c>
      <c r="C242" s="94">
        <v>12</v>
      </c>
      <c r="D242" s="94" t="s">
        <v>61</v>
      </c>
      <c r="E242" s="94" t="s">
        <v>35</v>
      </c>
      <c r="F242" s="94" t="s">
        <v>36</v>
      </c>
      <c r="G242" s="94"/>
      <c r="H242" s="94" t="s">
        <v>43</v>
      </c>
      <c r="I242" s="65">
        <v>2000</v>
      </c>
      <c r="J242" s="66">
        <v>79.989999999999995</v>
      </c>
      <c r="K242" s="66">
        <f t="shared" si="137"/>
        <v>543.93200000000002</v>
      </c>
      <c r="L242" s="19">
        <v>6.8</v>
      </c>
      <c r="M242" s="66">
        <f t="shared" si="142"/>
        <v>1087864</v>
      </c>
      <c r="N242" s="67">
        <v>0.08</v>
      </c>
      <c r="O242" s="68">
        <v>15.79</v>
      </c>
      <c r="P242" s="66">
        <f>(J242*0.15*I242+O242*I242)*L242+M242*N242</f>
        <v>464952.72</v>
      </c>
      <c r="Q242" s="23">
        <f t="shared" si="138"/>
        <v>0.42739967495936998</v>
      </c>
      <c r="R242" s="66">
        <f t="shared" si="143"/>
        <v>108786.4</v>
      </c>
      <c r="S242" s="23">
        <v>0.1</v>
      </c>
      <c r="T242" s="18">
        <f t="shared" si="144"/>
        <v>514124.88</v>
      </c>
      <c r="U242" s="22">
        <f t="shared" si="130"/>
        <v>0.47260032504062999</v>
      </c>
      <c r="V242" s="66">
        <f t="shared" si="145"/>
        <v>32635.919999999998</v>
      </c>
      <c r="W242" s="23">
        <v>0.03</v>
      </c>
      <c r="X242" s="68">
        <v>170</v>
      </c>
      <c r="Y242" s="34">
        <f t="shared" si="127"/>
        <v>340000</v>
      </c>
      <c r="Z242" s="23">
        <f t="shared" si="139"/>
        <v>0.31253906738342302</v>
      </c>
      <c r="AA242" s="66">
        <f t="shared" si="141"/>
        <v>65271.839999999997</v>
      </c>
      <c r="AB242" s="37">
        <v>0.06</v>
      </c>
      <c r="AC242" s="18">
        <f t="shared" si="140"/>
        <v>43514.559999999998</v>
      </c>
      <c r="AD242" s="69">
        <v>0.02</v>
      </c>
      <c r="AE242" s="66">
        <v>0</v>
      </c>
      <c r="AF242" s="69">
        <v>0</v>
      </c>
      <c r="AG242" s="66">
        <f t="shared" si="146"/>
        <v>32702.560000000001</v>
      </c>
      <c r="AH242" s="67">
        <f t="shared" si="147"/>
        <v>3.0061257657207199E-2</v>
      </c>
      <c r="AI242" s="13"/>
      <c r="AJ242" s="13"/>
      <c r="AK242" s="13"/>
      <c r="AL242" s="13"/>
      <c r="AM242" s="13"/>
    </row>
    <row r="243" spans="1:39" s="1" customFormat="1" ht="21" hidden="1" customHeight="1">
      <c r="A243" s="29" t="s">
        <v>56</v>
      </c>
      <c r="B243" s="80" t="s">
        <v>59</v>
      </c>
      <c r="C243" s="94">
        <v>12</v>
      </c>
      <c r="D243" s="94" t="s">
        <v>62</v>
      </c>
      <c r="E243" s="94" t="s">
        <v>35</v>
      </c>
      <c r="F243" s="94" t="s">
        <v>36</v>
      </c>
      <c r="G243" s="94"/>
      <c r="H243" s="94" t="s">
        <v>43</v>
      </c>
      <c r="I243" s="65">
        <v>18000</v>
      </c>
      <c r="J243" s="66">
        <v>79.989999999999995</v>
      </c>
      <c r="K243" s="66">
        <f t="shared" si="137"/>
        <v>543.93200000000002</v>
      </c>
      <c r="L243" s="19">
        <v>6.8</v>
      </c>
      <c r="M243" s="66">
        <f t="shared" si="142"/>
        <v>9790776</v>
      </c>
      <c r="N243" s="67">
        <v>0.08</v>
      </c>
      <c r="O243" s="68">
        <v>15.79</v>
      </c>
      <c r="P243" s="66">
        <f>(J243*0.15*I243+O243*I243)*L243+M243*N243</f>
        <v>4184574.48</v>
      </c>
      <c r="Q243" s="23">
        <f t="shared" si="138"/>
        <v>0.42739967495936998</v>
      </c>
      <c r="R243" s="66">
        <f t="shared" si="143"/>
        <v>979077.6</v>
      </c>
      <c r="S243" s="23">
        <v>0.1</v>
      </c>
      <c r="T243" s="18">
        <f t="shared" si="144"/>
        <v>4627123.92</v>
      </c>
      <c r="U243" s="22">
        <f t="shared" si="130"/>
        <v>0.47260032504062999</v>
      </c>
      <c r="V243" s="66">
        <f t="shared" si="145"/>
        <v>293723.28000000003</v>
      </c>
      <c r="W243" s="23">
        <v>0.03</v>
      </c>
      <c r="X243" s="68">
        <v>170</v>
      </c>
      <c r="Y243" s="34">
        <f t="shared" si="127"/>
        <v>3060000</v>
      </c>
      <c r="Z243" s="23">
        <f t="shared" si="139"/>
        <v>0.31253906738342302</v>
      </c>
      <c r="AA243" s="66">
        <f t="shared" si="141"/>
        <v>587446.56000000006</v>
      </c>
      <c r="AB243" s="37">
        <v>0.06</v>
      </c>
      <c r="AC243" s="18">
        <f t="shared" si="140"/>
        <v>391631.04</v>
      </c>
      <c r="AD243" s="69">
        <v>0.02</v>
      </c>
      <c r="AE243" s="66">
        <v>0</v>
      </c>
      <c r="AF243" s="69">
        <v>0</v>
      </c>
      <c r="AG243" s="66">
        <f t="shared" si="146"/>
        <v>294323.03999999998</v>
      </c>
      <c r="AH243" s="67">
        <f t="shared" si="147"/>
        <v>3.0061257657207099E-2</v>
      </c>
      <c r="AI243" s="13"/>
      <c r="AJ243" s="13"/>
      <c r="AK243" s="13"/>
      <c r="AL243" s="13"/>
      <c r="AM243" s="13"/>
    </row>
    <row r="244" spans="1:39" s="1" customFormat="1" ht="21" hidden="1" customHeight="1">
      <c r="A244" s="29" t="s">
        <v>56</v>
      </c>
      <c r="B244" s="80" t="s">
        <v>59</v>
      </c>
      <c r="C244" s="94">
        <v>12</v>
      </c>
      <c r="D244" s="94" t="s">
        <v>63</v>
      </c>
      <c r="E244" s="94" t="s">
        <v>35</v>
      </c>
      <c r="F244" s="94" t="s">
        <v>36</v>
      </c>
      <c r="G244" s="94"/>
      <c r="H244" s="94" t="s">
        <v>43</v>
      </c>
      <c r="I244" s="65">
        <v>2000</v>
      </c>
      <c r="J244" s="66">
        <v>79.989999999999995</v>
      </c>
      <c r="K244" s="66">
        <f t="shared" si="137"/>
        <v>543.93200000000002</v>
      </c>
      <c r="L244" s="19">
        <v>6.8</v>
      </c>
      <c r="M244" s="66">
        <f t="shared" si="142"/>
        <v>1087864</v>
      </c>
      <c r="N244" s="67">
        <v>0.08</v>
      </c>
      <c r="O244" s="68">
        <v>14.89</v>
      </c>
      <c r="P244" s="66">
        <f>(J244*0.15*I244+O244*I244)*L244+M244*N244</f>
        <v>452712.72</v>
      </c>
      <c r="Q244" s="23">
        <f t="shared" si="138"/>
        <v>0.41614826853356701</v>
      </c>
      <c r="R244" s="66">
        <f t="shared" si="143"/>
        <v>108786.4</v>
      </c>
      <c r="S244" s="23">
        <v>0.1</v>
      </c>
      <c r="T244" s="18">
        <f t="shared" si="144"/>
        <v>526364.88</v>
      </c>
      <c r="U244" s="22">
        <f t="shared" si="130"/>
        <v>0.48385173146643301</v>
      </c>
      <c r="V244" s="66">
        <f t="shared" si="145"/>
        <v>32635.919999999998</v>
      </c>
      <c r="W244" s="23">
        <v>0.03</v>
      </c>
      <c r="X244" s="68">
        <v>155</v>
      </c>
      <c r="Y244" s="34">
        <f t="shared" si="127"/>
        <v>310000</v>
      </c>
      <c r="Z244" s="23">
        <f t="shared" si="139"/>
        <v>0.28496209084959201</v>
      </c>
      <c r="AA244" s="66">
        <f t="shared" si="141"/>
        <v>65271.839999999997</v>
      </c>
      <c r="AB244" s="37">
        <v>0.06</v>
      </c>
      <c r="AC244" s="18">
        <f>M244*AD244</f>
        <v>32635.919999999998</v>
      </c>
      <c r="AD244" s="69">
        <v>0.03</v>
      </c>
      <c r="AE244" s="66">
        <v>0</v>
      </c>
      <c r="AF244" s="69">
        <v>0</v>
      </c>
      <c r="AG244" s="66">
        <f t="shared" si="146"/>
        <v>85821.2</v>
      </c>
      <c r="AH244" s="67">
        <f t="shared" si="147"/>
        <v>7.8889640616841797E-2</v>
      </c>
      <c r="AI244" s="13"/>
      <c r="AJ244" s="13"/>
      <c r="AK244" s="13"/>
      <c r="AL244" s="13"/>
      <c r="AM244" s="13"/>
    </row>
    <row r="245" spans="1:39" s="2" customFormat="1" ht="21" hidden="1" customHeight="1">
      <c r="A245" s="29" t="s">
        <v>56</v>
      </c>
      <c r="B245" s="80" t="s">
        <v>72</v>
      </c>
      <c r="C245" s="94">
        <v>12</v>
      </c>
      <c r="D245" s="94" t="s">
        <v>93</v>
      </c>
      <c r="E245" s="94" t="s">
        <v>75</v>
      </c>
      <c r="F245" s="94" t="s">
        <v>79</v>
      </c>
      <c r="G245" s="94"/>
      <c r="H245" s="94" t="s">
        <v>43</v>
      </c>
      <c r="I245" s="65">
        <v>800</v>
      </c>
      <c r="J245" s="66">
        <v>299.99</v>
      </c>
      <c r="K245" s="66">
        <f t="shared" si="137"/>
        <v>2039.932</v>
      </c>
      <c r="L245" s="19">
        <v>6.8</v>
      </c>
      <c r="M245" s="66">
        <f t="shared" si="142"/>
        <v>1631945.6</v>
      </c>
      <c r="N245" s="67">
        <v>0.2</v>
      </c>
      <c r="O245" s="68">
        <v>22.92</v>
      </c>
      <c r="P245" s="66">
        <f>(J245*0.15*I245+O245*I245)*L245+J245*I245*N245</f>
        <v>417475.04</v>
      </c>
      <c r="Q245" s="23">
        <v>0.25538805399793502</v>
      </c>
      <c r="R245" s="66">
        <f t="shared" si="143"/>
        <v>244791.84</v>
      </c>
      <c r="S245" s="23">
        <v>0.15</v>
      </c>
      <c r="T245" s="18">
        <f t="shared" si="144"/>
        <v>969678.72</v>
      </c>
      <c r="U245" s="22">
        <v>0.59461194600206502</v>
      </c>
      <c r="V245" s="34">
        <f t="shared" si="145"/>
        <v>48958.368000000002</v>
      </c>
      <c r="W245" s="23">
        <v>0.03</v>
      </c>
      <c r="X245" s="68">
        <v>605</v>
      </c>
      <c r="Y245" s="34">
        <f t="shared" si="127"/>
        <v>484000</v>
      </c>
      <c r="Z245" s="23">
        <v>0.29228027407676899</v>
      </c>
      <c r="AA245" s="66">
        <f t="shared" si="141"/>
        <v>97916.736000000004</v>
      </c>
      <c r="AB245" s="37">
        <v>0.06</v>
      </c>
      <c r="AC245" s="18">
        <f>M245*0.04</f>
        <v>65277.824000000001</v>
      </c>
      <c r="AD245" s="69">
        <v>0.03</v>
      </c>
      <c r="AE245" s="66">
        <v>0</v>
      </c>
      <c r="AF245" s="69">
        <v>0</v>
      </c>
      <c r="AG245" s="66">
        <f t="shared" si="146"/>
        <v>273525.79200000002</v>
      </c>
      <c r="AH245" s="67">
        <f t="shared" si="147"/>
        <v>0.16760717514113199</v>
      </c>
    </row>
    <row r="246" spans="1:39" s="2" customFormat="1" ht="21" hidden="1" customHeight="1">
      <c r="A246" s="29" t="s">
        <v>56</v>
      </c>
      <c r="B246" s="80" t="s">
        <v>72</v>
      </c>
      <c r="C246" s="94">
        <v>12</v>
      </c>
      <c r="D246" s="94" t="s">
        <v>95</v>
      </c>
      <c r="E246" s="94" t="s">
        <v>75</v>
      </c>
      <c r="F246" s="94" t="s">
        <v>79</v>
      </c>
      <c r="G246" s="94"/>
      <c r="H246" s="94" t="s">
        <v>43</v>
      </c>
      <c r="I246" s="65">
        <v>300</v>
      </c>
      <c r="J246" s="66">
        <v>199.99</v>
      </c>
      <c r="K246" s="66">
        <f t="shared" si="137"/>
        <v>1359.932</v>
      </c>
      <c r="L246" s="19">
        <v>6.8</v>
      </c>
      <c r="M246" s="66">
        <f t="shared" si="142"/>
        <v>407979.6</v>
      </c>
      <c r="N246" s="67">
        <v>0.2</v>
      </c>
      <c r="O246" s="68">
        <v>23.19</v>
      </c>
      <c r="P246" s="66">
        <f>(J246*0.15*I246+O246*I246)*L246+J246*I246*N246</f>
        <v>120503.94</v>
      </c>
      <c r="Q246" s="23">
        <v>0.29494130503626598</v>
      </c>
      <c r="R246" s="66">
        <f t="shared" si="143"/>
        <v>61196.94</v>
      </c>
      <c r="S246" s="23">
        <v>0.15</v>
      </c>
      <c r="T246" s="18">
        <f t="shared" si="144"/>
        <v>226278.72</v>
      </c>
      <c r="U246" s="22">
        <v>0.50505869496373401</v>
      </c>
      <c r="V246" s="34">
        <f t="shared" si="145"/>
        <v>20398.98</v>
      </c>
      <c r="W246" s="23">
        <v>0.05</v>
      </c>
      <c r="X246" s="68">
        <v>500</v>
      </c>
      <c r="Y246" s="34">
        <f t="shared" si="127"/>
        <v>150000</v>
      </c>
      <c r="Z246" s="23">
        <v>0.217402174456549</v>
      </c>
      <c r="AA246" s="66">
        <f t="shared" si="141"/>
        <v>24478.776000000002</v>
      </c>
      <c r="AB246" s="37">
        <v>0.06</v>
      </c>
      <c r="AC246" s="18">
        <f>M246*0.04</f>
        <v>16319.183999999999</v>
      </c>
      <c r="AD246" s="69">
        <v>0.03</v>
      </c>
      <c r="AE246" s="66">
        <v>0</v>
      </c>
      <c r="AF246" s="69">
        <v>0</v>
      </c>
      <c r="AG246" s="66">
        <f t="shared" si="146"/>
        <v>15081.78</v>
      </c>
      <c r="AH246" s="67">
        <f t="shared" si="147"/>
        <v>3.6966995408593897E-2</v>
      </c>
    </row>
    <row r="247" spans="1:39" s="2" customFormat="1" ht="21" hidden="1" customHeight="1">
      <c r="A247" s="29" t="s">
        <v>56</v>
      </c>
      <c r="B247" s="80" t="s">
        <v>72</v>
      </c>
      <c r="C247" s="94">
        <v>12</v>
      </c>
      <c r="D247" s="94" t="s">
        <v>74</v>
      </c>
      <c r="E247" s="94" t="s">
        <v>75</v>
      </c>
      <c r="F247" s="94" t="s">
        <v>36</v>
      </c>
      <c r="G247" s="94"/>
      <c r="H247" s="94" t="s">
        <v>43</v>
      </c>
      <c r="I247" s="65">
        <v>1000</v>
      </c>
      <c r="J247" s="66">
        <v>299.99</v>
      </c>
      <c r="K247" s="66">
        <f t="shared" si="137"/>
        <v>2039.932</v>
      </c>
      <c r="L247" s="19">
        <v>6.8</v>
      </c>
      <c r="M247" s="66">
        <f t="shared" si="142"/>
        <v>2039932</v>
      </c>
      <c r="N247" s="67">
        <v>0.2</v>
      </c>
      <c r="O247" s="68">
        <v>22.92</v>
      </c>
      <c r="P247" s="66">
        <f>(J247*0.15*I247+O247*I247)*L247+J247*I247*N247</f>
        <v>521843.8</v>
      </c>
      <c r="Q247" s="23">
        <v>0.25538805399793502</v>
      </c>
      <c r="R247" s="66">
        <f t="shared" si="143"/>
        <v>305989.8</v>
      </c>
      <c r="S247" s="23">
        <v>0.15</v>
      </c>
      <c r="T247" s="18">
        <f t="shared" si="144"/>
        <v>1212098.3999999999</v>
      </c>
      <c r="U247" s="22">
        <v>0.59461194600206502</v>
      </c>
      <c r="V247" s="34">
        <f t="shared" si="145"/>
        <v>101996.6</v>
      </c>
      <c r="W247" s="23">
        <v>0.05</v>
      </c>
      <c r="X247" s="68">
        <v>605</v>
      </c>
      <c r="Y247" s="34">
        <f t="shared" si="127"/>
        <v>605000</v>
      </c>
      <c r="Z247" s="23">
        <v>0.29228027407676899</v>
      </c>
      <c r="AA247" s="66">
        <f t="shared" si="141"/>
        <v>122395.92</v>
      </c>
      <c r="AB247" s="37">
        <v>0.06</v>
      </c>
      <c r="AC247" s="18">
        <f>M247*0.04</f>
        <v>81597.279999999999</v>
      </c>
      <c r="AD247" s="69">
        <v>0.03</v>
      </c>
      <c r="AE247" s="66">
        <v>0</v>
      </c>
      <c r="AF247" s="69">
        <v>0</v>
      </c>
      <c r="AG247" s="66">
        <f t="shared" si="146"/>
        <v>301108.59999999998</v>
      </c>
      <c r="AH247" s="67">
        <f t="shared" si="147"/>
        <v>0.147607175141132</v>
      </c>
    </row>
    <row r="248" spans="1:39" s="2" customFormat="1" ht="21" hidden="1" customHeight="1">
      <c r="A248" s="29" t="s">
        <v>56</v>
      </c>
      <c r="B248" s="80" t="s">
        <v>72</v>
      </c>
      <c r="C248" s="94">
        <v>12</v>
      </c>
      <c r="D248" s="94" t="s">
        <v>99</v>
      </c>
      <c r="E248" s="94" t="s">
        <v>75</v>
      </c>
      <c r="F248" s="94" t="s">
        <v>79</v>
      </c>
      <c r="G248" s="94"/>
      <c r="H248" s="94" t="s">
        <v>43</v>
      </c>
      <c r="I248" s="65">
        <v>300</v>
      </c>
      <c r="J248" s="66">
        <v>469.99</v>
      </c>
      <c r="K248" s="66">
        <f t="shared" si="137"/>
        <v>3195.9319999999998</v>
      </c>
      <c r="L248" s="19">
        <v>6.8</v>
      </c>
      <c r="M248" s="66">
        <f t="shared" si="142"/>
        <v>958779.6</v>
      </c>
      <c r="N248" s="67">
        <v>0.2</v>
      </c>
      <c r="O248" s="68">
        <v>22.92</v>
      </c>
      <c r="P248" s="66">
        <f>(J248*0.15*I248+O248*I248)*L248+J248*I248*N248</f>
        <v>218773.14</v>
      </c>
      <c r="Q248" s="23">
        <v>0.25538805399793502</v>
      </c>
      <c r="R248" s="66">
        <f t="shared" si="143"/>
        <v>143816.94</v>
      </c>
      <c r="S248" s="23">
        <v>0.15</v>
      </c>
      <c r="T248" s="18">
        <f t="shared" si="144"/>
        <v>596189.52</v>
      </c>
      <c r="U248" s="22">
        <v>0.59461194600206502</v>
      </c>
      <c r="V248" s="34">
        <f t="shared" si="145"/>
        <v>47938.98</v>
      </c>
      <c r="W248" s="23">
        <v>0.05</v>
      </c>
      <c r="X248" s="68">
        <v>850</v>
      </c>
      <c r="Y248" s="34">
        <f t="shared" si="127"/>
        <v>255000</v>
      </c>
      <c r="Z248" s="23">
        <v>0.29228027407676899</v>
      </c>
      <c r="AA248" s="66">
        <f t="shared" si="141"/>
        <v>57526.775999999998</v>
      </c>
      <c r="AB248" s="37">
        <v>0.06</v>
      </c>
      <c r="AC248" s="18">
        <f>M248*0.04</f>
        <v>38351.184000000001</v>
      </c>
      <c r="AD248" s="69">
        <v>0.03</v>
      </c>
      <c r="AE248" s="66">
        <v>0</v>
      </c>
      <c r="AF248" s="69">
        <v>0</v>
      </c>
      <c r="AG248" s="66">
        <f t="shared" si="146"/>
        <v>197372.58</v>
      </c>
      <c r="AH248" s="67">
        <f t="shared" si="147"/>
        <v>0.205858134653678</v>
      </c>
    </row>
  </sheetData>
  <sheetProtection formatColumns="0" formatRows="0" insertColumns="0" insertRows="0" insertHyperlinks="0" deleteColumns="0" deleteRows="0" sort="0" autoFilter="0" pivotTables="0"/>
  <autoFilter ref="A1:AX248" xr:uid="{00000000-0009-0000-0000-000000000000}">
    <filterColumn colId="2">
      <filters>
        <filter val="5"/>
        <filter val="6"/>
        <filter val="7"/>
        <filter val="8"/>
        <filter val="9"/>
      </filters>
    </filterColumn>
    <filterColumn colId="3">
      <filters>
        <filter val="Spa手持机T10"/>
        <filter val="Spa手持机T11"/>
        <filter val="落叶清洁机L10"/>
        <filter val="落叶清洁机L10 Mini"/>
        <filter val="落叶清洁机L11"/>
        <filter val="清洁手持机-H10"/>
        <filter val="清洁手持机-H11"/>
        <filter val="清洁手持机-H11 Pro"/>
      </filters>
    </filterColumn>
    <filterColumn colId="4">
      <filters>
        <filter val="Yousky"/>
      </filters>
    </filterColumn>
  </autoFilter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欧美2026亚马逊运营计划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V61671</cp:lastModifiedBy>
  <dcterms:created xsi:type="dcterms:W3CDTF">2006-09-16T00:00:00Z</dcterms:created>
  <dcterms:modified xsi:type="dcterms:W3CDTF">2026-06-02T02:38:57Z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99C3AED5BC6341858981A880A632C538_12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