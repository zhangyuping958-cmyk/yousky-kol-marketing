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qisanjiudekeaiduo/Downloads/python3/Harlottecc/inventory management plan/"/>
    </mc:Choice>
  </mc:AlternateContent>
  <xr:revisionPtr revIDLastSave="0" documentId="13_ncr:1_{2B67711B-00B2-A945-B232-74379B8C1A88}" xr6:coauthVersionLast="47" xr6:coauthVersionMax="47" xr10:uidLastSave="{00000000-0000-0000-0000-000000000000}"/>
  <bookViews>
    <workbookView xWindow="2580" yWindow="2160" windowWidth="24980" windowHeight="16960" xr2:uid="{752BAC88-3D22-6345-9E5D-6A586CA68B77}"/>
  </bookViews>
  <sheets>
    <sheet name="销额销量预估" sheetId="1" r:id="rId1"/>
    <sheet name="产品预估-调整版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2" l="1"/>
  <c r="C17" i="2"/>
  <c r="E16" i="2"/>
  <c r="D16" i="2"/>
  <c r="C16" i="2"/>
  <c r="E15" i="2"/>
  <c r="D15" i="2"/>
  <c r="C15" i="2"/>
  <c r="E14" i="2"/>
  <c r="D14" i="2"/>
  <c r="D17" i="2" s="1"/>
  <c r="C14" i="2"/>
  <c r="E13" i="2"/>
  <c r="D13" i="2"/>
  <c r="C13" i="2"/>
  <c r="E12" i="2"/>
  <c r="D12" i="2"/>
  <c r="C12" i="2"/>
  <c r="E11" i="2"/>
  <c r="D11" i="2"/>
  <c r="C11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H2" i="2"/>
  <c r="G2" i="2"/>
  <c r="F2" i="2"/>
  <c r="D5" i="1"/>
  <c r="C5" i="1"/>
  <c r="B5" i="1"/>
  <c r="D4" i="1"/>
  <c r="C4" i="1"/>
  <c r="B4" i="1"/>
</calcChain>
</file>

<file path=xl/sharedStrings.xml><?xml version="1.0" encoding="utf-8"?>
<sst xmlns="http://schemas.openxmlformats.org/spreadsheetml/2006/main" count="34" uniqueCount="22">
  <si>
    <t>月份</t>
  </si>
  <si>
    <t>6月</t>
  </si>
  <si>
    <t>7月</t>
  </si>
  <si>
    <t>8月</t>
  </si>
  <si>
    <t>销额</t>
  </si>
  <si>
    <t>销量</t>
  </si>
  <si>
    <t>平均客单价</t>
  </si>
  <si>
    <t>流量</t>
  </si>
  <si>
    <t>转化率</t>
  </si>
  <si>
    <t>客单价</t>
  </si>
  <si>
    <t>产品销量预估</t>
  </si>
  <si>
    <t>6月日均</t>
  </si>
  <si>
    <t>7月日均</t>
  </si>
  <si>
    <t>8月日均</t>
  </si>
  <si>
    <t>H10</t>
  </si>
  <si>
    <t>H11</t>
  </si>
  <si>
    <t>H11 pro</t>
  </si>
  <si>
    <t>T11</t>
  </si>
  <si>
    <t>L10</t>
  </si>
  <si>
    <t>L11</t>
  </si>
  <si>
    <t>产品销额预估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</si>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</sst>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"/>
  </numFmts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family val="4"/>
      <charset val="134"/>
    </font>
    <font>
      <b/>
      <sz val="10"/>
      <name val="等线"/>
      <family val="4"/>
      <charset val="134"/>
    </font>
  </fonts>
  <fills count="5">
    <fill>
      <patternFill patternType="none"/>
    </fill>
    <fill>
      <patternFill patternType="gray125"/>
    </fill>
    <fill>
      <patternFill patternType="solid">
        <fgColor rgb="FFFCC102"/>
      </patternFill>
    </fill>
    <fill>
      <patternFill patternType="solid">
        <fgColor rgb="FFE8E6E7"/>
      </patternFill>
    </fill>
    <fill>
      <patternFill patternType="solid">
        <fgColor rgb="FFFEE59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154C-A0D4-BF49-AFEF-2FEE7E7391FB}">
  <sheetPr>
    <outlinePr summaryBelow="0" summaryRight="0"/>
  </sheetPr>
  <dimension ref="A1:D6"/>
  <sheetViews>
    <sheetView tabSelected="1" workbookViewId="0"/>
  </sheetViews>
  <sheetFormatPr baseColWidth="10" defaultColWidth="10" defaultRowHeight="16.5" customHeight="1"/>
  <cols>
    <col min="1" max="1" width="10" style="1"/>
    <col min="2" max="2" width="10.83203125" style="1" customWidth="1"/>
    <col min="3" max="4" width="10" style="1"/>
  </cols>
  <sheetData>
    <row r="1" spans="1:4" ht="16.5" customHeight="1">
      <c r="A1" s="9" t="s">
        <v>0</v>
      </c>
      <c r="B1" s="9" t="s">
        <v>1</v>
      </c>
      <c r="C1" s="9" t="s">
        <v>2</v>
      </c>
      <c r="D1" s="9" t="s">
        <v>3</v>
      </c>
    </row>
    <row r="2" spans="1:4" ht="16.5" customHeight="1">
      <c r="A2" s="2" t="s">
        <v>4</v>
      </c>
      <c r="B2" s="10">
        <v>106791.8</v>
      </c>
      <c r="C2" s="10">
        <v>213983.5</v>
      </c>
      <c r="D2" s="10">
        <v>284978</v>
      </c>
    </row>
    <row r="3" spans="1:4" ht="16.5" customHeight="1">
      <c r="A3" s="2" t="s">
        <v>5</v>
      </c>
      <c r="B3" s="2">
        <v>800</v>
      </c>
      <c r="C3" s="2">
        <v>1700</v>
      </c>
      <c r="D3" s="2">
        <v>2100</v>
      </c>
    </row>
    <row r="4" spans="1:4" ht="16.5" customHeight="1">
      <c r="A4" s="2" t="s">
        <v>6</v>
      </c>
      <c r="B4" s="10">
        <f>B2/B3</f>
        <v>133.48975000000002</v>
      </c>
      <c r="C4" s="10">
        <f>C2/C3</f>
        <v>125.87264705882353</v>
      </c>
      <c r="D4" s="10">
        <f>D2/D3</f>
        <v>135.70380952380953</v>
      </c>
    </row>
    <row r="5" spans="1:4" ht="16.5" customHeight="1">
      <c r="A5" s="2" t="s">
        <v>7</v>
      </c>
      <c r="B5" s="7">
        <f>B3/B6</f>
        <v>32000</v>
      </c>
      <c r="C5" s="7">
        <f>C3/C6</f>
        <v>56666.666666666672</v>
      </c>
      <c r="D5" s="7">
        <f>D3/D6</f>
        <v>70000</v>
      </c>
    </row>
    <row r="6" spans="1:4" ht="16.5" customHeight="1">
      <c r="A6" s="2" t="s">
        <v>8</v>
      </c>
      <c r="B6" s="11">
        <v>2.5000000000000001E-2</v>
      </c>
      <c r="C6" s="12">
        <v>0.03</v>
      </c>
      <c r="D6" s="12">
        <v>0.03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412C-F899-9B42-91EF-7665258F0D3E}">
  <sheetPr>
    <outlinePr summaryBelow="0" summaryRight="0"/>
  </sheetPr>
  <dimension ref="A1:H17"/>
  <sheetViews>
    <sheetView workbookViewId="0"/>
  </sheetViews>
  <sheetFormatPr baseColWidth="10" defaultColWidth="10" defaultRowHeight="16.5" customHeight="1"/>
  <cols>
    <col min="1" max="2" width="11.33203125" customWidth="1"/>
  </cols>
  <sheetData>
    <row r="1" spans="1:8" ht="16.5" customHeight="1">
      <c r="A1" s="3" t="s">
        <v>9</v>
      </c>
      <c r="B1" s="4" t="s">
        <v>10</v>
      </c>
      <c r="C1" s="4" t="s">
        <v>1</v>
      </c>
      <c r="D1" s="4" t="s">
        <v>2</v>
      </c>
      <c r="E1" s="5" t="s">
        <v>3</v>
      </c>
      <c r="F1" s="3" t="s">
        <v>11</v>
      </c>
      <c r="G1" s="3" t="s">
        <v>12</v>
      </c>
      <c r="H1" s="3" t="s">
        <v>13</v>
      </c>
    </row>
    <row r="2" spans="1:8" ht="16.5" customHeight="1">
      <c r="A2" s="2">
        <v>109.99</v>
      </c>
      <c r="B2" s="4" t="s">
        <v>14</v>
      </c>
      <c r="C2" s="4">
        <v>100</v>
      </c>
      <c r="D2" s="4">
        <v>200</v>
      </c>
      <c r="E2" s="5">
        <v>200</v>
      </c>
      <c r="F2" s="7">
        <f t="shared" ref="F2:F7" si="0">C2/30</f>
        <v>3.3333333333333335</v>
      </c>
      <c r="G2" s="7">
        <f t="shared" ref="G2:H7" si="1">D2/31</f>
        <v>6.4516129032258061</v>
      </c>
      <c r="H2" s="7">
        <f t="shared" si="1"/>
        <v>6.4516129032258061</v>
      </c>
    </row>
    <row r="3" spans="1:8" ht="16.5" customHeight="1">
      <c r="A3" s="2">
        <v>139.99</v>
      </c>
      <c r="B3" s="4" t="s">
        <v>15</v>
      </c>
      <c r="C3" s="4">
        <v>400</v>
      </c>
      <c r="D3" s="4">
        <v>900</v>
      </c>
      <c r="E3" s="5">
        <v>1200</v>
      </c>
      <c r="F3" s="7">
        <f t="shared" si="0"/>
        <v>13.333333333333334</v>
      </c>
      <c r="G3" s="7">
        <f t="shared" si="1"/>
        <v>29.032258064516128</v>
      </c>
      <c r="H3" s="7">
        <f t="shared" si="1"/>
        <v>38.70967741935484</v>
      </c>
    </row>
    <row r="4" spans="1:8" ht="16.5" customHeight="1">
      <c r="A4" s="2">
        <v>149.99</v>
      </c>
      <c r="B4" s="4" t="s">
        <v>16</v>
      </c>
      <c r="C4" s="4">
        <v>100</v>
      </c>
      <c r="D4" s="4">
        <v>100</v>
      </c>
      <c r="E4" s="5">
        <v>100</v>
      </c>
      <c r="F4" s="7">
        <f t="shared" si="0"/>
        <v>3.3333333333333335</v>
      </c>
      <c r="G4" s="7">
        <f t="shared" si="1"/>
        <v>3.225806451612903</v>
      </c>
      <c r="H4" s="7">
        <f t="shared" si="1"/>
        <v>3.225806451612903</v>
      </c>
    </row>
    <row r="5" spans="1:8" ht="16.5" customHeight="1">
      <c r="A5" s="2">
        <v>109.99</v>
      </c>
      <c r="B5" s="4" t="s">
        <v>17</v>
      </c>
      <c r="C5" s="4">
        <v>100</v>
      </c>
      <c r="D5" s="4">
        <v>200</v>
      </c>
      <c r="E5" s="5">
        <v>300</v>
      </c>
      <c r="F5" s="7">
        <f t="shared" si="0"/>
        <v>3.3333333333333335</v>
      </c>
      <c r="G5" s="7">
        <f t="shared" si="1"/>
        <v>6.4516129032258061</v>
      </c>
      <c r="H5" s="7">
        <f t="shared" si="1"/>
        <v>9.67741935483871</v>
      </c>
    </row>
    <row r="6" spans="1:8" ht="16.5" customHeight="1">
      <c r="A6" s="2">
        <v>139.99</v>
      </c>
      <c r="B6" s="4" t="s">
        <v>18</v>
      </c>
      <c r="C6" s="4">
        <v>20</v>
      </c>
      <c r="D6" s="4">
        <v>50</v>
      </c>
      <c r="E6" s="5">
        <v>100</v>
      </c>
      <c r="F6" s="7">
        <f t="shared" si="0"/>
        <v>0.66666666666666663</v>
      </c>
      <c r="G6" s="7">
        <f t="shared" si="1"/>
        <v>1.6129032258064515</v>
      </c>
      <c r="H6" s="7">
        <f t="shared" si="1"/>
        <v>3.225806451612903</v>
      </c>
    </row>
    <row r="7" spans="1:8" ht="16.5" customHeight="1">
      <c r="A7" s="2">
        <v>159.99</v>
      </c>
      <c r="B7" s="4" t="s">
        <v>19</v>
      </c>
      <c r="C7" s="4">
        <v>80</v>
      </c>
      <c r="D7" s="4">
        <v>250</v>
      </c>
      <c r="E7" s="5">
        <v>200</v>
      </c>
      <c r="F7" s="7">
        <f t="shared" si="0"/>
        <v>2.6666666666666665</v>
      </c>
      <c r="G7" s="7">
        <f t="shared" si="1"/>
        <v>8.064516129032258</v>
      </c>
      <c r="H7" s="7">
        <f t="shared" si="1"/>
        <v>6.4516129032258061</v>
      </c>
    </row>
    <row r="10" spans="1:8" ht="16.5" customHeight="1">
      <c r="B10" s="8" t="s">
        <v>20</v>
      </c>
      <c r="C10" s="6" t="s">
        <v>1</v>
      </c>
      <c r="D10" s="6" t="s">
        <v>2</v>
      </c>
      <c r="E10" s="6" t="s">
        <v>3</v>
      </c>
    </row>
    <row r="11" spans="1:8" ht="16.5" customHeight="1">
      <c r="B11" s="4" t="s">
        <v>14</v>
      </c>
      <c r="C11" s="10">
        <f>C2*$A$2</f>
        <v>10999</v>
      </c>
      <c r="D11" s="10">
        <f>D2*$A$2</f>
        <v>21998</v>
      </c>
      <c r="E11" s="10">
        <f>E2*$A$2</f>
        <v>21998</v>
      </c>
    </row>
    <row r="12" spans="1:8" ht="16.5" customHeight="1">
      <c r="B12" s="4" t="s">
        <v>15</v>
      </c>
      <c r="C12" s="10">
        <f>C3*$A$3</f>
        <v>55996</v>
      </c>
      <c r="D12" s="10">
        <f>D3*$A$3</f>
        <v>125991.00000000001</v>
      </c>
      <c r="E12" s="10">
        <f>E3*$A$3</f>
        <v>167988</v>
      </c>
    </row>
    <row r="13" spans="1:8" ht="16.5" customHeight="1">
      <c r="B13" s="4" t="s">
        <v>16</v>
      </c>
      <c r="C13" s="10">
        <f>C4*$A$4</f>
        <v>14999</v>
      </c>
      <c r="D13" s="10">
        <f>D4*$A$4</f>
        <v>14999</v>
      </c>
      <c r="E13" s="10">
        <f>E4*$A$4</f>
        <v>14999</v>
      </c>
    </row>
    <row r="14" spans="1:8" ht="16.5" customHeight="1">
      <c r="B14" s="4" t="s">
        <v>17</v>
      </c>
      <c r="C14" s="10">
        <f>C5*$A$5</f>
        <v>10999</v>
      </c>
      <c r="D14" s="10">
        <f>D5*$A$5</f>
        <v>21998</v>
      </c>
      <c r="E14" s="10">
        <f>E5*$A$5</f>
        <v>32997</v>
      </c>
    </row>
    <row r="15" spans="1:8" ht="16.5" customHeight="1">
      <c r="B15" s="4" t="s">
        <v>18</v>
      </c>
      <c r="C15" s="10">
        <f>C5*$A$5</f>
        <v>10999</v>
      </c>
      <c r="D15" s="10">
        <f>D5*$A$5</f>
        <v>21998</v>
      </c>
      <c r="E15" s="10">
        <f>E5*$A$5</f>
        <v>32997</v>
      </c>
    </row>
    <row r="16" spans="1:8" ht="16.5" customHeight="1">
      <c r="B16" s="4" t="s">
        <v>19</v>
      </c>
      <c r="C16" s="10">
        <f>C6*$A$6</f>
        <v>2799.8</v>
      </c>
      <c r="D16" s="10">
        <f>D6*$A$6</f>
        <v>6999.5</v>
      </c>
      <c r="E16" s="10">
        <f>E6*$A$6</f>
        <v>13999</v>
      </c>
    </row>
    <row r="17" spans="2:5" ht="16.5" customHeight="1">
      <c r="B17" s="2" t="s">
        <v>21</v>
      </c>
      <c r="C17" s="10">
        <f>SUM(C11:C16)</f>
        <v>106791.8</v>
      </c>
      <c r="D17" s="10">
        <f>SUM(D11:D16)</f>
        <v>213983.5</v>
      </c>
      <c r="E17" s="10">
        <f>SUM(E11:E16)</f>
        <v>284978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销额销量预估</vt:lpstr>
      <vt:lpstr>产品预估-调整版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V61671</cp:lastModifiedBy>
  <dcterms:created xsi:type="dcterms:W3CDTF">2006-09-16T00:00:00Z</dcterms:created>
  <dcterms:modified xsi:type="dcterms:W3CDTF">2026-06-02T02:38:05Z</dcterms:modified>
</cp:coreProperties>
</file>